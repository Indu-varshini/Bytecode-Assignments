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tics\"/>
    </mc:Choice>
  </mc:AlternateContent>
  <xr:revisionPtr revIDLastSave="0" documentId="13_ncr:1_{68718CEF-B770-4E60-9748-2EAD3E23D7CE}" xr6:coauthVersionLast="47" xr6:coauthVersionMax="47" xr10:uidLastSave="{00000000-0000-0000-0000-000000000000}"/>
  <bookViews>
    <workbookView xWindow="-120" yWindow="-120" windowWidth="20730" windowHeight="11160" xr2:uid="{96ACA9CB-FB17-40EA-BF53-33AC9F344056}"/>
  </bookViews>
  <sheets>
    <sheet name="Dataset" sheetId="2" r:id="rId1"/>
    <sheet name="Report_Refernce" sheetId="3" r:id="rId2"/>
    <sheet name="Sheet1" sheetId="4" r:id="rId3"/>
  </sheets>
  <definedNames>
    <definedName name="_xlnm._FilterDatabase" localSheetId="0" hidden="1">Dataset!$B$2:$W$22</definedName>
    <definedName name="_xlnm._FilterDatabase" localSheetId="2" hidden="1">Sheet1!$B$3:$C$15</definedName>
    <definedName name="Day_Name">Dataset!$U:$U</definedName>
    <definedName name="Delivery_status">Dataset!$W:$W</definedName>
    <definedName name="Months">Dataset!$S:$S</definedName>
    <definedName name="Sales_data">Dataset!$K:$K</definedName>
    <definedName name="Year">Dataset!$R:$R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3" i="2"/>
  <c r="V21" i="4"/>
  <c r="V22" i="4"/>
  <c r="V23" i="4"/>
  <c r="V24" i="4"/>
  <c r="V25" i="4"/>
  <c r="V26" i="4"/>
  <c r="V20" i="4"/>
  <c r="V7" i="4"/>
  <c r="V8" i="4"/>
  <c r="V9" i="4"/>
  <c r="V10" i="4"/>
  <c r="V11" i="4"/>
  <c r="V12" i="4"/>
  <c r="V13" i="4"/>
  <c r="V14" i="4"/>
  <c r="V15" i="4"/>
  <c r="V16" i="4"/>
  <c r="V17" i="4"/>
  <c r="V6" i="4"/>
  <c r="V3" i="4"/>
  <c r="V4" i="4"/>
  <c r="E10" i="4"/>
  <c r="E14" i="4"/>
  <c r="E13" i="4"/>
  <c r="E12" i="4"/>
  <c r="E9" i="4"/>
  <c r="E11" i="4"/>
  <c r="E8" i="4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3" i="2"/>
  <c r="B6" i="4"/>
  <c r="B7" i="4"/>
  <c r="B8" i="4"/>
  <c r="B9" i="4"/>
  <c r="B10" i="4"/>
  <c r="B11" i="4"/>
  <c r="B12" i="4"/>
  <c r="B13" i="4"/>
  <c r="B14" i="4"/>
  <c r="B15" i="4"/>
  <c r="B4" i="4"/>
  <c r="B5" i="4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3" i="2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3" i="2"/>
  <c r="W3" i="2" s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4" i="2"/>
  <c r="N5" i="2"/>
  <c r="N6" i="2"/>
  <c r="N7" i="2"/>
  <c r="N8" i="2"/>
  <c r="N9" i="2"/>
  <c r="N10" i="2"/>
  <c r="N11" i="2"/>
  <c r="N12" i="2"/>
  <c r="N14" i="2"/>
  <c r="N15" i="2"/>
  <c r="N16" i="2"/>
  <c r="N17" i="2"/>
  <c r="N18" i="2"/>
  <c r="N19" i="2"/>
  <c r="N20" i="2"/>
  <c r="N21" i="2"/>
  <c r="N22" i="2"/>
  <c r="N3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10" i="2" a="1"/>
  <c r="M10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3" i="2" a="1"/>
  <c r="M3" i="2" s="1"/>
  <c r="L2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3" i="2"/>
  <c r="F4" i="4" l="1"/>
  <c r="G4" i="4" s="1"/>
  <c r="J5" i="4"/>
  <c r="G10" i="4"/>
  <c r="F13" i="4"/>
  <c r="G14" i="4"/>
  <c r="F9" i="4"/>
  <c r="F12" i="4"/>
  <c r="F10" i="4"/>
  <c r="F8" i="4"/>
  <c r="F11" i="4"/>
  <c r="G8" i="4"/>
  <c r="G11" i="4"/>
  <c r="G13" i="4"/>
  <c r="F14" i="4"/>
  <c r="G9" i="4"/>
  <c r="G12" i="4"/>
  <c r="F5" i="4"/>
  <c r="G5" i="4" s="1"/>
  <c r="C15" i="4"/>
  <c r="C11" i="4"/>
  <c r="C7" i="4"/>
  <c r="C14" i="4"/>
  <c r="C10" i="4"/>
  <c r="C6" i="4"/>
  <c r="C5" i="4"/>
  <c r="C13" i="4"/>
  <c r="C9" i="4"/>
  <c r="C4" i="4"/>
  <c r="C12" i="4"/>
  <c r="C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<sst xmlns="http://schemas.openxmlformats.org/spreadsheetml/2006/main" count="160" uniqueCount="117">
  <si>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</si>
  <si>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</si>
  <si>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</si>
  <si>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</si>
  <si>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</si>
  <si>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</si>
  <si>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</si>
  <si>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</si>
  <si>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</si>
  <si>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</si>
  <si>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New_cust_Name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</si>
  <si>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</si>
  <si>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</si>
  <si>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</si>
  <si>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</si>
  <si>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</si>
  <si>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</si>
  <si>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</si>
  <si>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</si>
  <si>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</si>
  <si>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</si>
  <si>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</si>
  <si>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</si>
  <si>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</si>
  <si>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</si>
  <si>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</si>
  <si>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</si>
  <si>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</si>
  <si>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</si>
  <si>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</si>
  <si>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</si>
  <si>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</si>
  <si>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</si>
  <si>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</si>
  <si>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</si>
  <si>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</si>
  <si>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</si>
  <si>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</si>
  <si>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</si>
  <si>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</si>
  <si>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</si>
  <si>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</si>
  <si>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</si>
  <si>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</si>
  <si>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</si>
  <si>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</si>
  <si>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</si>
  <si>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</si>
  <si>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</si>
  <si>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</si>
  <si>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</si>
  <si>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</si>
  <si>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</si>
  <si>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</si>
  <si>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</si>
  <si>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</si>
  <si>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</si>
  <si>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</si>
  <si>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</si>
  <si>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</si>
  <si>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</si>
  <si>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</si>
  <si>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</si>
  <si>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</si>
  <si>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</si>
  <si>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</si>
  <si>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</si>
  <si>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</si>
  <si>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</si>
  <si>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</si>
  <si>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</si>
  <si>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</si>
  <si>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</si>
  <si>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</si>
  <si>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</si>
  <si>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</si>
  <si>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</si>
  <si>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</si>
  <si>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</si>
  <si>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ORD014</t>
  </si>
  <si>
    <t>Anjali</t>
  </si>
  <si>
    <t>anjali@gmailcom</t>
  </si>
  <si>
    <t>ORD015</t>
  </si>
  <si>
    <t>Kiran</t>
  </si>
  <si>
    <t>Shirt blue</t>
  </si>
  <si>
    <t>ORD016</t>
  </si>
  <si>
    <t>Meena</t>
  </si>
  <si>
    <t>meena@gmailcom</t>
  </si>
  <si>
    <t>ORD017</t>
  </si>
  <si>
    <t>John</t>
  </si>
  <si>
    <t>tshirt_blue</t>
  </si>
  <si>
    <t>ORD018</t>
  </si>
  <si>
    <t>POOJA</t>
  </si>
  <si>
    <t>pooja@gmailcom</t>
  </si>
  <si>
    <t>ORD019</t>
  </si>
  <si>
    <t>Vikram</t>
  </si>
  <si>
    <t>ORD020</t>
  </si>
  <si>
    <t>Kavya</t>
  </si>
  <si>
    <t>kavya@gmailcom</t>
  </si>
  <si>
    <t>sita@gmail.com</t>
  </si>
  <si>
    <t>meena@gmail.com</t>
  </si>
  <si>
    <t>kavya@gmail.com</t>
  </si>
  <si>
    <t>kiran@gmail.com</t>
  </si>
  <si>
    <t>john@gmail.com</t>
  </si>
  <si>
    <t>vikram@gmail.com</t>
  </si>
  <si>
    <t>Total Sales</t>
  </si>
  <si>
    <t>Total Slaes</t>
  </si>
  <si>
    <t>Delivery Satuts</t>
  </si>
  <si>
    <t>On Time Delivery</t>
  </si>
  <si>
    <t>Late Delivery</t>
  </si>
  <si>
    <t>Count</t>
  </si>
  <si>
    <t>Select Year</t>
  </si>
  <si>
    <t>Select Month</t>
  </si>
  <si>
    <t>Select Day_Name</t>
  </si>
  <si>
    <t>Jun</t>
  </si>
  <si>
    <t>Wed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</si>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</sst>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0" borderId="0" xfId="0" applyFont="1"/>
    <xf numFmtId="0" fontId="0" fillId="4" borderId="0" xfId="0" applyFill="1"/>
    <xf numFmtId="0" fontId="0" fillId="0" borderId="2" xfId="0" applyBorder="1"/>
    <xf numFmtId="0" fontId="0" fillId="0" borderId="4" xfId="0" applyBorder="1"/>
    <xf numFmtId="0" fontId="0" fillId="0" borderId="5" xfId="0" applyBorder="1"/>
    <xf numFmtId="9" fontId="0" fillId="0" borderId="6" xfId="1" applyFont="1" applyBorder="1"/>
    <xf numFmtId="14" fontId="0" fillId="0" borderId="0" xfId="0" applyNumberFormat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9" xfId="1" applyFont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3" fillId="4" borderId="0" xfId="0" applyFont="1" applyFill="1"/>
    <xf numFmtId="0" fontId="0" fillId="4" borderId="0" xfId="0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3</xdr:row>
      <xdr:rowOff>61056</xdr:rowOff>
    </xdr:from>
    <xdr:to>
      <xdr:col>16</xdr:col>
      <xdr:colOff>31750</xdr:colOff>
      <xdr:row>20</xdr:row>
      <xdr:rowOff>12195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570CF-5069-C9A4-08B0-A065D91B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400" y="613506"/>
          <a:ext cx="8997950" cy="3081689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BAA-02DF-47D4-B694-8D574CD52622}">
  <dimension ref="B1:W220"/>
  <sheetViews>
    <sheetView tabSelected="1" topLeftCell="G1" workbookViewId="0">
      <selection activeCell="G1" sqref="G1"/>
    </sheetView>
  </sheetViews>
  <sheetFormatPr defaultRowHeight="15" x14ac:dyDescent="0.25"/>
  <cols>
    <col min="2" max="2" width="14.85546875" customWidth="1"/>
    <col min="3" max="3" width="16" customWidth="1"/>
    <col min="4" max="4" width="14.28515625" bestFit="1" customWidth="1"/>
    <col min="5" max="5" width="10.5703125" bestFit="1" customWidth="1"/>
    <col min="6" max="6" width="12.42578125" bestFit="1" customWidth="1"/>
    <col min="7" max="7" width="13.85546875" bestFit="1" customWidth="1"/>
    <col min="8" max="8" width="8.42578125" bestFit="1" customWidth="1"/>
    <col min="9" max="9" width="18.85546875" bestFit="1" customWidth="1"/>
    <col min="10" max="10" width="19.5703125" customWidth="1"/>
    <col min="11" max="11" width="13.85546875" customWidth="1"/>
    <col min="12" max="15" width="16.5703125" customWidth="1"/>
    <col min="16" max="16" width="23.28515625" customWidth="1"/>
    <col min="17" max="23" width="16.5703125" customWidth="1"/>
  </cols>
  <sheetData>
    <row r="1" spans="2:23" x14ac:dyDescent="0.25">
      <c r="L1" t="s">
        <v>116</v>
      </c>
    </row>
    <row r="2" spans="2:23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</row>
    <row r="3" spans="2:23" x14ac:dyDescent="0.25">
      <c r="B3" s="1" t="s">
        <v>22</v>
      </c>
      <c r="C3" s="1" t="s">
        <v>23</v>
      </c>
      <c r="D3" s="1" t="s">
        <v>24</v>
      </c>
      <c r="E3" s="2">
        <v>44958</v>
      </c>
      <c r="F3" s="2">
        <v>44962</v>
      </c>
      <c r="G3" s="1" t="s">
        <v>25</v>
      </c>
      <c r="H3" s="1" t="s">
        <v>26</v>
      </c>
      <c r="I3" s="1" t="s">
        <v>27</v>
      </c>
      <c r="J3" s="3">
        <v>9876543210</v>
      </c>
      <c r="K3" s="1">
        <v>1200</v>
      </c>
      <c r="L3" s="1" t="str">
        <f>PROPER(C3)</f>
        <v>Ramesh Kumar</v>
      </c>
      <c r="M3" s="1" t="str" cm="1">
        <f t="array" ref="M3">_xlfn.SWITCH(D3,"ap","Andhra Pradesh",
"Andhra","Andhra Pradesh",
"AP","Andhra Pradesh",
"TS","Telangana",
"telangana","Telangana")</f>
        <v>Andhra Pradesh</v>
      </c>
      <c r="N3" s="1" t="str">
        <f>PROPER(SUBSTITUTE(SUBSTITUTE(G3,"-"," "),"_"," "))</f>
        <v>Tshirt Blue</v>
      </c>
      <c r="O3" s="1" t="str">
        <f>PROPER(H3)</f>
        <v>Apparel</v>
      </c>
      <c r="P3" s="1" t="str">
        <f>SUBSTITUTE(SUBSTITUTE(I3,"@gmailcom","@gmail.com"),".gmail","@gmail")</f>
        <v>ramesh@gmail.com</v>
      </c>
      <c r="Q3" s="1" t="str">
        <f>SUBSTITUTE(J3,"91","")</f>
        <v>9876543210</v>
      </c>
      <c r="R3" s="1">
        <f>INT(TEXT(E3,"yyyy"))</f>
        <v>2023</v>
      </c>
      <c r="S3" s="1" t="str">
        <f>TEXT(E3,"mmm")</f>
        <v>Feb</v>
      </c>
      <c r="T3" s="1" t="str">
        <f>TEXT(E3,"dd")</f>
        <v>01</v>
      </c>
      <c r="U3" s="1" t="str">
        <f>TEXT(E3,"ddd")</f>
        <v>Wed</v>
      </c>
      <c r="V3" s="1">
        <f>F3-E3</f>
        <v>4</v>
      </c>
      <c r="W3" s="1" t="str">
        <f>IF(V3&gt;5,"Late Delivery","On Time Delivery")</f>
        <v>On Time Delivery</v>
      </c>
    </row>
    <row r="4" spans="2:23" x14ac:dyDescent="0.25">
      <c r="B4" s="1" t="s">
        <v>28</v>
      </c>
      <c r="C4" s="1" t="s">
        <v>29</v>
      </c>
      <c r="D4" s="1" t="s">
        <v>30</v>
      </c>
      <c r="E4" s="2">
        <v>44990</v>
      </c>
      <c r="F4" s="2">
        <v>44995</v>
      </c>
      <c r="G4" s="1" t="s">
        <v>31</v>
      </c>
      <c r="H4" s="1" t="s">
        <v>26</v>
      </c>
      <c r="I4" s="1" t="s">
        <v>99</v>
      </c>
      <c r="J4" s="3">
        <v>919876543211</v>
      </c>
      <c r="K4" s="1">
        <v>2500</v>
      </c>
      <c r="L4" s="1" t="str">
        <f t="shared" ref="L4:L21" si="0">PROPER(C4)</f>
        <v>Sita Devi</v>
      </c>
      <c r="M4" s="1" t="str" cm="1">
        <f t="array" ref="M4">_xlfn.SWITCH(D4,"ap","Andhra Pradesh",
"Andhra","Andhra Pradesh",
"AP","Andhra Pradesh",
"TS","Telangana",
"telangana","Telangana")</f>
        <v>Andhra Pradesh</v>
      </c>
      <c r="N4" s="1" t="str">
        <f t="shared" ref="N4:N22" si="1">PROPER(SUBSTITUTE(SUBSTITUTE(G4,"-"," "),"_"," "))</f>
        <v>Jeans Black</v>
      </c>
      <c r="O4" s="1" t="str">
        <f t="shared" ref="O4:O22" si="2">PROPER(H4)</f>
        <v>Apparel</v>
      </c>
      <c r="P4" s="1" t="str">
        <f t="shared" ref="P4:P22" si="3">SUBSTITUTE(SUBSTITUTE(I4,"@gmailcom","@gmail.com"),".gmail","@gmail")</f>
        <v>sita@gmail.com</v>
      </c>
      <c r="Q4" s="1" t="str">
        <f t="shared" ref="Q4:Q22" si="4">SUBSTITUTE(J4,"91","")</f>
        <v>9876543211</v>
      </c>
      <c r="R4" s="1">
        <f t="shared" ref="R4:R22" si="5">INT(TEXT(E4,"yyyy"))</f>
        <v>2023</v>
      </c>
      <c r="S4" s="1" t="str">
        <f t="shared" ref="S4:S22" si="6">TEXT(E4,"mmm")</f>
        <v>Mar</v>
      </c>
      <c r="T4" s="1" t="str">
        <f t="shared" ref="T4:T22" si="7">TEXT(E4,"dd")</f>
        <v>05</v>
      </c>
      <c r="U4" s="1" t="str">
        <f t="shared" ref="U4:U22" si="8">TEXT(E4,"ddd")</f>
        <v>Sun</v>
      </c>
      <c r="V4" s="1">
        <f t="shared" ref="V4:V22" si="9">F4-E4</f>
        <v>5</v>
      </c>
      <c r="W4" s="1" t="str">
        <f t="shared" ref="W4:W22" si="10">IF(V4&gt;5,"Late Delivery","On Time Delivery")</f>
        <v>On Time Delivery</v>
      </c>
    </row>
    <row r="5" spans="2:23" x14ac:dyDescent="0.25">
      <c r="B5" s="1" t="s">
        <v>32</v>
      </c>
      <c r="C5" s="1" t="s">
        <v>33</v>
      </c>
      <c r="D5" s="1" t="s">
        <v>34</v>
      </c>
      <c r="E5" s="2">
        <v>45031</v>
      </c>
      <c r="F5" s="2">
        <v>45036</v>
      </c>
      <c r="G5" s="1" t="s">
        <v>35</v>
      </c>
      <c r="H5" s="1" t="s">
        <v>36</v>
      </c>
      <c r="I5" s="1" t="s">
        <v>37</v>
      </c>
      <c r="J5" s="3">
        <v>987654321</v>
      </c>
      <c r="K5" s="1">
        <v>3200</v>
      </c>
      <c r="L5" s="1" t="str">
        <f t="shared" si="0"/>
        <v>Rahul</v>
      </c>
      <c r="M5" s="1" t="str" cm="1">
        <f t="array" ref="M5">_xlfn.SWITCH(D5,"ap","Andhra Pradesh",
"Andhra","Andhra Pradesh",
"AP","Andhra Pradesh",
"TS","Telangana",
"telangana","Telangana")</f>
        <v>Andhra Pradesh</v>
      </c>
      <c r="N5" s="1" t="str">
        <f t="shared" si="1"/>
        <v>Sneakers White</v>
      </c>
      <c r="O5" s="1" t="str">
        <f t="shared" si="2"/>
        <v>Footwear</v>
      </c>
      <c r="P5" s="1" t="str">
        <f t="shared" si="3"/>
        <v>rahul@gmail.com</v>
      </c>
      <c r="Q5" s="1" t="str">
        <f t="shared" si="4"/>
        <v>987654321</v>
      </c>
      <c r="R5" s="1">
        <f t="shared" si="5"/>
        <v>2023</v>
      </c>
      <c r="S5" s="1" t="str">
        <f t="shared" si="6"/>
        <v>Apr</v>
      </c>
      <c r="T5" s="1" t="str">
        <f t="shared" si="7"/>
        <v>15</v>
      </c>
      <c r="U5" s="1" t="str">
        <f t="shared" si="8"/>
        <v>Sat</v>
      </c>
      <c r="V5" s="1">
        <f t="shared" si="9"/>
        <v>5</v>
      </c>
      <c r="W5" s="1" t="str">
        <f t="shared" si="10"/>
        <v>On Time Delivery</v>
      </c>
    </row>
    <row r="6" spans="2:23" x14ac:dyDescent="0.25">
      <c r="B6" s="1" t="s">
        <v>38</v>
      </c>
      <c r="C6" s="1" t="s">
        <v>39</v>
      </c>
      <c r="D6" s="1" t="s">
        <v>40</v>
      </c>
      <c r="E6" s="2">
        <v>45058</v>
      </c>
      <c r="F6" s="2">
        <v>45064</v>
      </c>
      <c r="G6" s="1" t="s">
        <v>41</v>
      </c>
      <c r="H6" s="1" t="s">
        <v>26</v>
      </c>
      <c r="I6" s="1" t="s">
        <v>42</v>
      </c>
      <c r="J6" s="3">
        <v>9876543210</v>
      </c>
      <c r="K6" s="1">
        <v>1800</v>
      </c>
      <c r="L6" s="1" t="str">
        <f t="shared" si="0"/>
        <v>Anjali Reddy</v>
      </c>
      <c r="M6" s="1" t="str" cm="1">
        <f t="array" ref="M6">_xlfn.SWITCH(D6,"ap","Andhra Pradesh",
"Andhra","Andhra Pradesh",
"AP","Andhra Pradesh",
"TS","Telangana",
"telangana","Telangana")</f>
        <v>Telangana</v>
      </c>
      <c r="N6" s="1" t="str">
        <f t="shared" si="1"/>
        <v>Kurti Red</v>
      </c>
      <c r="O6" s="1" t="str">
        <f t="shared" si="2"/>
        <v>Apparel</v>
      </c>
      <c r="P6" s="1" t="str">
        <f t="shared" si="3"/>
        <v>anjali@gmail.com</v>
      </c>
      <c r="Q6" s="1" t="str">
        <f t="shared" si="4"/>
        <v>9876543210</v>
      </c>
      <c r="R6" s="1">
        <f t="shared" si="5"/>
        <v>2023</v>
      </c>
      <c r="S6" s="1" t="str">
        <f t="shared" si="6"/>
        <v>May</v>
      </c>
      <c r="T6" s="1" t="str">
        <f t="shared" si="7"/>
        <v>12</v>
      </c>
      <c r="U6" s="1" t="str">
        <f t="shared" si="8"/>
        <v>Fri</v>
      </c>
      <c r="V6" s="1">
        <f t="shared" si="9"/>
        <v>6</v>
      </c>
      <c r="W6" s="1" t="str">
        <f>IF(V6&gt;5,"Late Delivery","On Time Delivery")</f>
        <v>Late Delivery</v>
      </c>
    </row>
    <row r="7" spans="2:23" x14ac:dyDescent="0.25">
      <c r="B7" s="1" t="s">
        <v>43</v>
      </c>
      <c r="C7" s="1" t="s">
        <v>44</v>
      </c>
      <c r="D7" s="1" t="s">
        <v>45</v>
      </c>
      <c r="E7" s="2">
        <v>45084</v>
      </c>
      <c r="F7" s="2">
        <v>45089</v>
      </c>
      <c r="G7" s="1" t="s">
        <v>46</v>
      </c>
      <c r="H7" s="1" t="s">
        <v>47</v>
      </c>
      <c r="I7" s="1" t="s">
        <v>48</v>
      </c>
      <c r="J7" s="3">
        <v>9876543210</v>
      </c>
      <c r="K7" s="1">
        <v>1500</v>
      </c>
      <c r="L7" s="1" t="str">
        <f t="shared" si="0"/>
        <v>Kiran</v>
      </c>
      <c r="M7" s="1" t="str" cm="1">
        <f t="array" ref="M7">_xlfn.SWITCH(D7,"ap","Andhra Pradesh",
"Andhra","Andhra Pradesh",
"AP","Andhra Pradesh",
"TS","Telangana",
"telangana","Telangana")</f>
        <v>Telangana</v>
      </c>
      <c r="N7" s="1" t="str">
        <f t="shared" si="1"/>
        <v>Shirt Blue</v>
      </c>
      <c r="O7" s="1" t="str">
        <f t="shared" si="2"/>
        <v>Apparel</v>
      </c>
      <c r="P7" s="1" t="str">
        <f t="shared" si="3"/>
        <v>kiran@gmail.com</v>
      </c>
      <c r="Q7" s="1" t="str">
        <f t="shared" si="4"/>
        <v>9876543210</v>
      </c>
      <c r="R7" s="1">
        <f t="shared" si="5"/>
        <v>2023</v>
      </c>
      <c r="S7" s="1" t="str">
        <f t="shared" si="6"/>
        <v>Jun</v>
      </c>
      <c r="T7" s="1" t="str">
        <f t="shared" si="7"/>
        <v>07</v>
      </c>
      <c r="U7" s="1" t="str">
        <f t="shared" si="8"/>
        <v>Wed</v>
      </c>
      <c r="V7" s="1">
        <f t="shared" si="9"/>
        <v>5</v>
      </c>
      <c r="W7" s="1" t="str">
        <f t="shared" si="10"/>
        <v>On Time Delivery</v>
      </c>
    </row>
    <row r="8" spans="2:23" x14ac:dyDescent="0.25">
      <c r="B8" s="1" t="s">
        <v>49</v>
      </c>
      <c r="C8" s="1" t="s">
        <v>50</v>
      </c>
      <c r="D8" s="1" t="s">
        <v>51</v>
      </c>
      <c r="E8" s="2">
        <v>45115</v>
      </c>
      <c r="F8" s="2">
        <v>45121</v>
      </c>
      <c r="G8" s="1" t="s">
        <v>52</v>
      </c>
      <c r="H8" s="1" t="s">
        <v>26</v>
      </c>
      <c r="I8" s="1" t="s">
        <v>100</v>
      </c>
      <c r="J8" s="3">
        <v>919876543210</v>
      </c>
      <c r="K8" s="1">
        <v>2100</v>
      </c>
      <c r="L8" s="1" t="str">
        <f t="shared" si="0"/>
        <v>Meena</v>
      </c>
      <c r="M8" s="1" t="str" cm="1">
        <f t="array" ref="M8">_xlfn.SWITCH(D8,"ap","Andhra Pradesh",
"Andhra","Andhra Pradesh",
"AP","Andhra Pradesh",
"TS","Telangana",
"telangana","Telangana")</f>
        <v>Telangana</v>
      </c>
      <c r="N8" s="1" t="str">
        <f t="shared" si="1"/>
        <v>Dress Pink</v>
      </c>
      <c r="O8" s="1" t="str">
        <f t="shared" si="2"/>
        <v>Apparel</v>
      </c>
      <c r="P8" s="1" t="str">
        <f t="shared" si="3"/>
        <v>meena@gmail.com</v>
      </c>
      <c r="Q8" s="1" t="str">
        <f t="shared" si="4"/>
        <v>9876543210</v>
      </c>
      <c r="R8" s="1">
        <f t="shared" si="5"/>
        <v>2023</v>
      </c>
      <c r="S8" s="1" t="str">
        <f t="shared" si="6"/>
        <v>Jul</v>
      </c>
      <c r="T8" s="1" t="str">
        <f t="shared" si="7"/>
        <v>08</v>
      </c>
      <c r="U8" s="1" t="str">
        <f t="shared" si="8"/>
        <v>Sat</v>
      </c>
      <c r="V8" s="1">
        <f t="shared" si="9"/>
        <v>6</v>
      </c>
      <c r="W8" s="1" t="str">
        <f t="shared" si="10"/>
        <v>Late Delivery</v>
      </c>
    </row>
    <row r="9" spans="2:23" x14ac:dyDescent="0.25">
      <c r="B9" s="1" t="s">
        <v>53</v>
      </c>
      <c r="C9" s="1" t="s">
        <v>54</v>
      </c>
      <c r="D9" s="1" t="s">
        <v>24</v>
      </c>
      <c r="E9" s="2">
        <v>45146</v>
      </c>
      <c r="F9" s="2">
        <v>45153</v>
      </c>
      <c r="G9" s="1" t="s">
        <v>25</v>
      </c>
      <c r="H9" s="1" t="s">
        <v>47</v>
      </c>
      <c r="I9" s="1" t="s">
        <v>55</v>
      </c>
      <c r="J9" s="3">
        <v>9876543210</v>
      </c>
      <c r="K9" s="1">
        <v>1200</v>
      </c>
      <c r="L9" s="1" t="str">
        <f t="shared" si="0"/>
        <v>John Doe</v>
      </c>
      <c r="M9" s="1" t="str" cm="1">
        <f t="array" ref="M9">_xlfn.SWITCH(D9,"ap","Andhra Pradesh",
"Andhra","Andhra Pradesh",
"AP","Andhra Pradesh",
"TS","Telangana",
"telangana","Telangana")</f>
        <v>Andhra Pradesh</v>
      </c>
      <c r="N9" s="1" t="str">
        <f t="shared" si="1"/>
        <v>Tshirt Blue</v>
      </c>
      <c r="O9" s="1" t="str">
        <f t="shared" si="2"/>
        <v>Apparel</v>
      </c>
      <c r="P9" s="1" t="str">
        <f t="shared" si="3"/>
        <v>john@gmail.com</v>
      </c>
      <c r="Q9" s="1" t="str">
        <f t="shared" si="4"/>
        <v>9876543210</v>
      </c>
      <c r="R9" s="1">
        <f t="shared" si="5"/>
        <v>2023</v>
      </c>
      <c r="S9" s="1" t="str">
        <f t="shared" si="6"/>
        <v>Aug</v>
      </c>
      <c r="T9" s="1" t="str">
        <f t="shared" si="7"/>
        <v>08</v>
      </c>
      <c r="U9" s="1" t="str">
        <f t="shared" si="8"/>
        <v>Tue</v>
      </c>
      <c r="V9" s="1">
        <f t="shared" si="9"/>
        <v>7</v>
      </c>
      <c r="W9" s="1" t="str">
        <f t="shared" si="10"/>
        <v>Late Delivery</v>
      </c>
    </row>
    <row r="10" spans="2:23" x14ac:dyDescent="0.25">
      <c r="B10" s="1" t="s">
        <v>56</v>
      </c>
      <c r="C10" s="1" t="s">
        <v>57</v>
      </c>
      <c r="D10" s="1" t="s">
        <v>58</v>
      </c>
      <c r="E10" s="2">
        <v>45170</v>
      </c>
      <c r="F10" s="2">
        <v>45176</v>
      </c>
      <c r="G10" s="1" t="s">
        <v>59</v>
      </c>
      <c r="H10" s="1" t="s">
        <v>26</v>
      </c>
      <c r="I10" s="1" t="s">
        <v>60</v>
      </c>
      <c r="J10" s="3">
        <v>9876543211</v>
      </c>
      <c r="K10" s="1">
        <v>2400</v>
      </c>
      <c r="L10" s="1" t="str">
        <f t="shared" si="0"/>
        <v>Pooja</v>
      </c>
      <c r="M10" s="1" t="str" cm="1">
        <f t="array" ref="M10">_xlfn.SWITCH(D10,"ap","Andhra Pradesh",
"Andhra","Andhra Pradesh",
"AP","Andhra Pradesh",
"TS","Telangana",
"telangana","Telangana",
"Andhra Pradesh","Andhra Pradesh")</f>
        <v>Andhra Pradesh</v>
      </c>
      <c r="N10" s="1" t="str">
        <f t="shared" si="1"/>
        <v>Jeans Black</v>
      </c>
      <c r="O10" s="1" t="str">
        <f t="shared" si="2"/>
        <v>Apparel</v>
      </c>
      <c r="P10" s="1" t="str">
        <f t="shared" si="3"/>
        <v>pooja@gmail.com</v>
      </c>
      <c r="Q10" s="1" t="str">
        <f t="shared" si="4"/>
        <v>9876543211</v>
      </c>
      <c r="R10" s="1">
        <f t="shared" si="5"/>
        <v>2023</v>
      </c>
      <c r="S10" s="1" t="str">
        <f t="shared" si="6"/>
        <v>Sep</v>
      </c>
      <c r="T10" s="1" t="str">
        <f t="shared" si="7"/>
        <v>01</v>
      </c>
      <c r="U10" s="1" t="str">
        <f t="shared" si="8"/>
        <v>Fri</v>
      </c>
      <c r="V10" s="1">
        <f t="shared" si="9"/>
        <v>6</v>
      </c>
      <c r="W10" s="1" t="str">
        <f t="shared" si="10"/>
        <v>Late Delivery</v>
      </c>
    </row>
    <row r="11" spans="2:23" x14ac:dyDescent="0.25">
      <c r="B11" s="1" t="s">
        <v>61</v>
      </c>
      <c r="C11" s="1" t="s">
        <v>62</v>
      </c>
      <c r="D11" s="1" t="s">
        <v>34</v>
      </c>
      <c r="E11" s="2">
        <v>45210</v>
      </c>
      <c r="F11" s="2">
        <v>45217</v>
      </c>
      <c r="G11" s="1" t="s">
        <v>35</v>
      </c>
      <c r="H11" s="1" t="s">
        <v>36</v>
      </c>
      <c r="I11" s="1" t="s">
        <v>63</v>
      </c>
      <c r="J11" s="3">
        <v>9876543212</v>
      </c>
      <c r="K11" s="1">
        <v>3300</v>
      </c>
      <c r="L11" s="1" t="str">
        <f t="shared" si="0"/>
        <v>Vikram</v>
      </c>
      <c r="M11" s="1" t="str" cm="1">
        <f t="array" ref="M11">_xlfn.SWITCH(D11,"ap","Andhra Pradesh",
"Andhra","Andhra Pradesh",
"AP","Andhra Pradesh",
"TS","Telangana",
"telangana","Telangana")</f>
        <v>Andhra Pradesh</v>
      </c>
      <c r="N11" s="1" t="str">
        <f t="shared" si="1"/>
        <v>Sneakers White</v>
      </c>
      <c r="O11" s="1" t="str">
        <f t="shared" si="2"/>
        <v>Footwear</v>
      </c>
      <c r="P11" s="1" t="str">
        <f t="shared" si="3"/>
        <v>vikram@gmail.com</v>
      </c>
      <c r="Q11" s="1" t="str">
        <f t="shared" si="4"/>
        <v>9876543212</v>
      </c>
      <c r="R11" s="1">
        <f t="shared" si="5"/>
        <v>2023</v>
      </c>
      <c r="S11" s="1" t="str">
        <f t="shared" si="6"/>
        <v>Oct</v>
      </c>
      <c r="T11" s="1" t="str">
        <f t="shared" si="7"/>
        <v>11</v>
      </c>
      <c r="U11" s="1" t="str">
        <f t="shared" si="8"/>
        <v>Wed</v>
      </c>
      <c r="V11" s="1">
        <f t="shared" si="9"/>
        <v>7</v>
      </c>
      <c r="W11" s="1" t="str">
        <f t="shared" si="10"/>
        <v>Late Delivery</v>
      </c>
    </row>
    <row r="12" spans="2:23" x14ac:dyDescent="0.25">
      <c r="B12" s="1" t="s">
        <v>64</v>
      </c>
      <c r="C12" s="1" t="s">
        <v>65</v>
      </c>
      <c r="D12" s="1" t="s">
        <v>45</v>
      </c>
      <c r="E12" s="2">
        <v>45232</v>
      </c>
      <c r="F12" s="2">
        <v>45238</v>
      </c>
      <c r="G12" s="1" t="s">
        <v>66</v>
      </c>
      <c r="H12" s="1" t="s">
        <v>26</v>
      </c>
      <c r="I12" s="1" t="s">
        <v>101</v>
      </c>
      <c r="J12" s="3">
        <v>9876543213</v>
      </c>
      <c r="K12" s="1">
        <v>1900</v>
      </c>
      <c r="L12" s="1" t="str">
        <f t="shared" si="0"/>
        <v>Kavya</v>
      </c>
      <c r="M12" s="1" t="str" cm="1">
        <f t="array" ref="M12">_xlfn.SWITCH(D12,"ap","Andhra Pradesh",
"Andhra","Andhra Pradesh",
"AP","Andhra Pradesh",
"TS","Telangana",
"telangana","Telangana")</f>
        <v>Telangana</v>
      </c>
      <c r="N12" s="1" t="str">
        <f t="shared" si="1"/>
        <v>Kurti Red</v>
      </c>
      <c r="O12" s="1" t="str">
        <f t="shared" si="2"/>
        <v>Apparel</v>
      </c>
      <c r="P12" s="1" t="str">
        <f t="shared" si="3"/>
        <v>kavya@gmail.com</v>
      </c>
      <c r="Q12" s="1" t="str">
        <f t="shared" si="4"/>
        <v>9876543213</v>
      </c>
      <c r="R12" s="1">
        <f t="shared" si="5"/>
        <v>2023</v>
      </c>
      <c r="S12" s="1" t="str">
        <f t="shared" si="6"/>
        <v>Nov</v>
      </c>
      <c r="T12" s="1" t="str">
        <f t="shared" si="7"/>
        <v>02</v>
      </c>
      <c r="U12" s="1" t="str">
        <f t="shared" si="8"/>
        <v>Thu</v>
      </c>
      <c r="V12" s="1">
        <f t="shared" si="9"/>
        <v>6</v>
      </c>
      <c r="W12" s="1" t="str">
        <f t="shared" si="10"/>
        <v>Late Delivery</v>
      </c>
    </row>
    <row r="13" spans="2:23" x14ac:dyDescent="0.25">
      <c r="B13" s="1" t="s">
        <v>67</v>
      </c>
      <c r="C13" s="1" t="s">
        <v>68</v>
      </c>
      <c r="D13" s="1" t="s">
        <v>24</v>
      </c>
      <c r="E13" s="2">
        <v>45272</v>
      </c>
      <c r="F13" s="2">
        <v>45278</v>
      </c>
      <c r="G13" s="1" t="s">
        <v>69</v>
      </c>
      <c r="H13" s="1" t="s">
        <v>26</v>
      </c>
      <c r="I13" s="1" t="s">
        <v>70</v>
      </c>
      <c r="J13" s="3">
        <v>9876543214</v>
      </c>
      <c r="K13" s="1">
        <v>1600</v>
      </c>
      <c r="L13" s="1" t="str">
        <f t="shared" si="0"/>
        <v>Ramesh</v>
      </c>
      <c r="M13" s="1" t="str" cm="1">
        <f t="array" ref="M13">_xlfn.SWITCH(D13,"ap","Andhra Pradesh",
"Andhra","Andhra Pradesh",
"AP","Andhra Pradesh",
"TS","Telangana",
"telangana","Telangana")</f>
        <v>Andhra Pradesh</v>
      </c>
      <c r="N13" s="1" t="str">
        <f>PROPER(SUBSTITUTE(SUBSTITUTE(G13,"-"," "),"_"," "))</f>
        <v>Shirt Blue</v>
      </c>
      <c r="O13" s="1" t="str">
        <f t="shared" si="2"/>
        <v>Apparel</v>
      </c>
      <c r="P13" s="1" t="str">
        <f t="shared" si="3"/>
        <v>ramesh@gmail.com</v>
      </c>
      <c r="Q13" s="1" t="str">
        <f t="shared" si="4"/>
        <v>9876543214</v>
      </c>
      <c r="R13" s="1">
        <f t="shared" si="5"/>
        <v>2023</v>
      </c>
      <c r="S13" s="1" t="str">
        <f t="shared" si="6"/>
        <v>Dec</v>
      </c>
      <c r="T13" s="1" t="str">
        <f t="shared" si="7"/>
        <v>12</v>
      </c>
      <c r="U13" s="1" t="str">
        <f t="shared" si="8"/>
        <v>Tue</v>
      </c>
      <c r="V13" s="1">
        <f t="shared" si="9"/>
        <v>6</v>
      </c>
      <c r="W13" s="1" t="str">
        <f t="shared" si="10"/>
        <v>Late Delivery</v>
      </c>
    </row>
    <row r="14" spans="2:23" x14ac:dyDescent="0.25">
      <c r="B14" s="1" t="s">
        <v>71</v>
      </c>
      <c r="C14" s="1" t="s">
        <v>72</v>
      </c>
      <c r="D14" s="1" t="s">
        <v>34</v>
      </c>
      <c r="E14" s="2">
        <v>45296</v>
      </c>
      <c r="F14" s="2">
        <v>45301</v>
      </c>
      <c r="G14" s="1" t="s">
        <v>73</v>
      </c>
      <c r="H14" s="1" t="s">
        <v>26</v>
      </c>
      <c r="I14" s="1" t="s">
        <v>74</v>
      </c>
      <c r="J14" s="3">
        <v>9876543215</v>
      </c>
      <c r="K14" s="1">
        <v>2600</v>
      </c>
      <c r="L14" s="1" t="str">
        <f t="shared" si="0"/>
        <v>Sita Devi</v>
      </c>
      <c r="M14" s="1" t="str" cm="1">
        <f t="array" ref="M14">_xlfn.SWITCH(D14,"ap","Andhra Pradesh",
"Andhra","Andhra Pradesh",
"AP","Andhra Pradesh",
"TS","Telangana",
"telangana","Telangana")</f>
        <v>Andhra Pradesh</v>
      </c>
      <c r="N14" s="1" t="str">
        <f t="shared" si="1"/>
        <v>Jeans Black</v>
      </c>
      <c r="O14" s="1" t="str">
        <f t="shared" si="2"/>
        <v>Apparel</v>
      </c>
      <c r="P14" s="1" t="str">
        <f t="shared" si="3"/>
        <v>sita@gmail.com</v>
      </c>
      <c r="Q14" s="1" t="str">
        <f t="shared" si="4"/>
        <v>9876543215</v>
      </c>
      <c r="R14" s="1">
        <f t="shared" si="5"/>
        <v>2024</v>
      </c>
      <c r="S14" s="1" t="str">
        <f t="shared" si="6"/>
        <v>Jan</v>
      </c>
      <c r="T14" s="1" t="str">
        <f t="shared" si="7"/>
        <v>05</v>
      </c>
      <c r="U14" s="1" t="str">
        <f t="shared" si="8"/>
        <v>Fri</v>
      </c>
      <c r="V14" s="1">
        <f t="shared" si="9"/>
        <v>5</v>
      </c>
      <c r="W14" s="1" t="str">
        <f t="shared" si="10"/>
        <v>On Time Delivery</v>
      </c>
    </row>
    <row r="15" spans="2:23" x14ac:dyDescent="0.25">
      <c r="B15" s="1" t="s">
        <v>75</v>
      </c>
      <c r="C15" s="1" t="s">
        <v>76</v>
      </c>
      <c r="D15" s="1" t="s">
        <v>77</v>
      </c>
      <c r="E15" s="2">
        <v>45337</v>
      </c>
      <c r="F15" s="2">
        <v>45342</v>
      </c>
      <c r="G15" s="1" t="s">
        <v>78</v>
      </c>
      <c r="H15" s="1" t="s">
        <v>36</v>
      </c>
      <c r="I15" s="1" t="s">
        <v>37</v>
      </c>
      <c r="J15" s="3">
        <v>9876543216</v>
      </c>
      <c r="K15" s="1">
        <v>3500</v>
      </c>
      <c r="L15" s="1" t="str">
        <f t="shared" si="0"/>
        <v>Rahul Kumar</v>
      </c>
      <c r="M15" s="1" t="str" cm="1">
        <f t="array" ref="M15">_xlfn.SWITCH(D15,"ap","Andhra Pradesh",
"Andhra","Andhra Pradesh",
"AP","Andhra Pradesh",
"TS","Telangana",
"telangana","Telangana")</f>
        <v>Andhra Pradesh</v>
      </c>
      <c r="N15" s="1" t="str">
        <f t="shared" si="1"/>
        <v>Sneakers White</v>
      </c>
      <c r="O15" s="1" t="str">
        <f t="shared" si="2"/>
        <v>Footwear</v>
      </c>
      <c r="P15" s="1" t="str">
        <f t="shared" si="3"/>
        <v>rahul@gmail.com</v>
      </c>
      <c r="Q15" s="1" t="str">
        <f t="shared" si="4"/>
        <v>9876543216</v>
      </c>
      <c r="R15" s="1">
        <f t="shared" si="5"/>
        <v>2024</v>
      </c>
      <c r="S15" s="1" t="str">
        <f t="shared" si="6"/>
        <v>Feb</v>
      </c>
      <c r="T15" s="1" t="str">
        <f t="shared" si="7"/>
        <v>15</v>
      </c>
      <c r="U15" s="1" t="str">
        <f t="shared" si="8"/>
        <v>Thu</v>
      </c>
      <c r="V15" s="1">
        <f t="shared" si="9"/>
        <v>5</v>
      </c>
      <c r="W15" s="1" t="str">
        <f t="shared" si="10"/>
        <v>On Time Delivery</v>
      </c>
    </row>
    <row r="16" spans="2:23" x14ac:dyDescent="0.25">
      <c r="B16" s="1" t="s">
        <v>79</v>
      </c>
      <c r="C16" s="1" t="s">
        <v>80</v>
      </c>
      <c r="D16" s="1" t="s">
        <v>51</v>
      </c>
      <c r="E16" s="2">
        <v>45361</v>
      </c>
      <c r="F16" s="2">
        <v>45367</v>
      </c>
      <c r="G16" s="1" t="s">
        <v>41</v>
      </c>
      <c r="H16" s="1" t="s">
        <v>26</v>
      </c>
      <c r="I16" s="1" t="s">
        <v>81</v>
      </c>
      <c r="J16" s="3">
        <v>9876543217</v>
      </c>
      <c r="K16" s="1">
        <v>2000</v>
      </c>
      <c r="L16" s="1" t="str">
        <f t="shared" si="0"/>
        <v>Anjali</v>
      </c>
      <c r="M16" s="1" t="str" cm="1">
        <f t="array" ref="M16">_xlfn.SWITCH(D16,"ap","Andhra Pradesh",
"Andhra","Andhra Pradesh",
"AP","Andhra Pradesh",
"TS","Telangana",
"telangana","Telangana")</f>
        <v>Telangana</v>
      </c>
      <c r="N16" s="1" t="str">
        <f t="shared" si="1"/>
        <v>Kurti Red</v>
      </c>
      <c r="O16" s="1" t="str">
        <f t="shared" si="2"/>
        <v>Apparel</v>
      </c>
      <c r="P16" s="1" t="str">
        <f t="shared" si="3"/>
        <v>anjali@gmail.com</v>
      </c>
      <c r="Q16" s="1" t="str">
        <f t="shared" si="4"/>
        <v>9876543217</v>
      </c>
      <c r="R16" s="1">
        <f t="shared" si="5"/>
        <v>2024</v>
      </c>
      <c r="S16" s="1" t="str">
        <f t="shared" si="6"/>
        <v>Mar</v>
      </c>
      <c r="T16" s="1" t="str">
        <f t="shared" si="7"/>
        <v>10</v>
      </c>
      <c r="U16" s="1" t="str">
        <f t="shared" si="8"/>
        <v>Sun</v>
      </c>
      <c r="V16" s="1">
        <f t="shared" si="9"/>
        <v>6</v>
      </c>
      <c r="W16" s="1" t="str">
        <f t="shared" si="10"/>
        <v>Late Delivery</v>
      </c>
    </row>
    <row r="17" spans="2:23" x14ac:dyDescent="0.25">
      <c r="B17" s="1" t="s">
        <v>82</v>
      </c>
      <c r="C17" s="1" t="s">
        <v>83</v>
      </c>
      <c r="D17" s="1" t="s">
        <v>45</v>
      </c>
      <c r="E17" s="2">
        <v>45394</v>
      </c>
      <c r="F17" s="2">
        <v>45400</v>
      </c>
      <c r="G17" s="1" t="s">
        <v>84</v>
      </c>
      <c r="H17" s="1" t="s">
        <v>26</v>
      </c>
      <c r="I17" s="1" t="s">
        <v>102</v>
      </c>
      <c r="J17" s="3">
        <v>919876543218</v>
      </c>
      <c r="K17" s="1">
        <v>1700</v>
      </c>
      <c r="L17" s="1" t="str">
        <f t="shared" si="0"/>
        <v>Kiran</v>
      </c>
      <c r="M17" s="1" t="str" cm="1">
        <f t="array" ref="M17">_xlfn.SWITCH(D17,"ap","Andhra Pradesh",
"Andhra","Andhra Pradesh",
"AP","Andhra Pradesh",
"TS","Telangana",
"telangana","Telangana")</f>
        <v>Telangana</v>
      </c>
      <c r="N17" s="1" t="str">
        <f t="shared" si="1"/>
        <v>Shirt Blue</v>
      </c>
      <c r="O17" s="1" t="str">
        <f t="shared" si="2"/>
        <v>Apparel</v>
      </c>
      <c r="P17" s="1" t="str">
        <f t="shared" si="3"/>
        <v>kiran@gmail.com</v>
      </c>
      <c r="Q17" s="1" t="str">
        <f t="shared" si="4"/>
        <v>9876543218</v>
      </c>
      <c r="R17" s="1">
        <f t="shared" si="5"/>
        <v>2024</v>
      </c>
      <c r="S17" s="1" t="str">
        <f t="shared" si="6"/>
        <v>Apr</v>
      </c>
      <c r="T17" s="1" t="str">
        <f t="shared" si="7"/>
        <v>12</v>
      </c>
      <c r="U17" s="1" t="str">
        <f t="shared" si="8"/>
        <v>Fri</v>
      </c>
      <c r="V17" s="1">
        <f t="shared" si="9"/>
        <v>6</v>
      </c>
      <c r="W17" s="1" t="str">
        <f t="shared" si="10"/>
        <v>Late Delivery</v>
      </c>
    </row>
    <row r="18" spans="2:23" x14ac:dyDescent="0.25">
      <c r="B18" s="1" t="s">
        <v>85</v>
      </c>
      <c r="C18" s="1" t="s">
        <v>86</v>
      </c>
      <c r="D18" s="1" t="s">
        <v>34</v>
      </c>
      <c r="E18" s="2">
        <v>45432</v>
      </c>
      <c r="F18" s="2">
        <v>45437</v>
      </c>
      <c r="G18" s="1" t="s">
        <v>52</v>
      </c>
      <c r="H18" s="1" t="s">
        <v>26</v>
      </c>
      <c r="I18" s="1" t="s">
        <v>87</v>
      </c>
      <c r="J18" s="3">
        <v>9876543219</v>
      </c>
      <c r="K18" s="1">
        <v>2200</v>
      </c>
      <c r="L18" s="1" t="str">
        <f t="shared" si="0"/>
        <v>Meena</v>
      </c>
      <c r="M18" s="1" t="str" cm="1">
        <f t="array" ref="M18">_xlfn.SWITCH(D18,"ap","Andhra Pradesh",
"Andhra","Andhra Pradesh",
"AP","Andhra Pradesh",
"TS","Telangana",
"telangana","Telangana")</f>
        <v>Andhra Pradesh</v>
      </c>
      <c r="N18" s="1" t="str">
        <f t="shared" si="1"/>
        <v>Dress Pink</v>
      </c>
      <c r="O18" s="1" t="str">
        <f t="shared" si="2"/>
        <v>Apparel</v>
      </c>
      <c r="P18" s="1" t="str">
        <f t="shared" si="3"/>
        <v>meena@gmail.com</v>
      </c>
      <c r="Q18" s="1" t="str">
        <f t="shared" si="4"/>
        <v>9876543219</v>
      </c>
      <c r="R18" s="1">
        <f t="shared" si="5"/>
        <v>2024</v>
      </c>
      <c r="S18" s="1" t="str">
        <f t="shared" si="6"/>
        <v>May</v>
      </c>
      <c r="T18" s="1" t="str">
        <f t="shared" si="7"/>
        <v>20</v>
      </c>
      <c r="U18" s="1" t="str">
        <f t="shared" si="8"/>
        <v>Mon</v>
      </c>
      <c r="V18" s="1">
        <f t="shared" si="9"/>
        <v>5</v>
      </c>
      <c r="W18" s="1" t="str">
        <f t="shared" si="10"/>
        <v>On Time Delivery</v>
      </c>
    </row>
    <row r="19" spans="2:23" x14ac:dyDescent="0.25">
      <c r="B19" s="1" t="s">
        <v>88</v>
      </c>
      <c r="C19" s="1" t="s">
        <v>89</v>
      </c>
      <c r="D19" s="1" t="s">
        <v>24</v>
      </c>
      <c r="E19" s="2">
        <v>45444</v>
      </c>
      <c r="F19" s="2">
        <v>45449</v>
      </c>
      <c r="G19" s="1" t="s">
        <v>90</v>
      </c>
      <c r="H19" s="1" t="s">
        <v>26</v>
      </c>
      <c r="I19" s="1" t="s">
        <v>103</v>
      </c>
      <c r="J19" s="3">
        <v>9876543220</v>
      </c>
      <c r="K19" s="1">
        <v>1300</v>
      </c>
      <c r="L19" s="1" t="str">
        <f t="shared" si="0"/>
        <v>John</v>
      </c>
      <c r="M19" s="1" t="str" cm="1">
        <f t="array" ref="M19">_xlfn.SWITCH(D19,"ap","Andhra Pradesh",
"Andhra","Andhra Pradesh",
"AP","Andhra Pradesh",
"TS","Telangana",
"telangana","Telangana")</f>
        <v>Andhra Pradesh</v>
      </c>
      <c r="N19" s="1" t="str">
        <f t="shared" si="1"/>
        <v>Tshirt Blue</v>
      </c>
      <c r="O19" s="1" t="str">
        <f t="shared" si="2"/>
        <v>Apparel</v>
      </c>
      <c r="P19" s="1" t="str">
        <f t="shared" si="3"/>
        <v>john@gmail.com</v>
      </c>
      <c r="Q19" s="1" t="str">
        <f t="shared" si="4"/>
        <v>9876543220</v>
      </c>
      <c r="R19" s="1">
        <f t="shared" si="5"/>
        <v>2024</v>
      </c>
      <c r="S19" s="1" t="str">
        <f t="shared" si="6"/>
        <v>Jun</v>
      </c>
      <c r="T19" s="1" t="str">
        <f t="shared" si="7"/>
        <v>01</v>
      </c>
      <c r="U19" s="1" t="str">
        <f t="shared" si="8"/>
        <v>Sat</v>
      </c>
      <c r="V19" s="1">
        <f t="shared" si="9"/>
        <v>5</v>
      </c>
      <c r="W19" s="1" t="str">
        <f t="shared" si="10"/>
        <v>On Time Delivery</v>
      </c>
    </row>
    <row r="20" spans="2:23" x14ac:dyDescent="0.25">
      <c r="B20" s="1" t="s">
        <v>91</v>
      </c>
      <c r="C20" s="1" t="s">
        <v>92</v>
      </c>
      <c r="D20" s="1" t="s">
        <v>30</v>
      </c>
      <c r="E20" s="2">
        <v>45480</v>
      </c>
      <c r="F20" s="2">
        <v>45486</v>
      </c>
      <c r="G20" s="1" t="s">
        <v>59</v>
      </c>
      <c r="H20" s="1" t="s">
        <v>26</v>
      </c>
      <c r="I20" s="1" t="s">
        <v>93</v>
      </c>
      <c r="J20" s="3">
        <v>9876543221</v>
      </c>
      <c r="K20" s="1">
        <v>2700</v>
      </c>
      <c r="L20" s="1" t="str">
        <f t="shared" si="0"/>
        <v>Pooja</v>
      </c>
      <c r="M20" s="1" t="str" cm="1">
        <f t="array" ref="M20">_xlfn.SWITCH(D20,"ap","Andhra Pradesh",
"Andhra","Andhra Pradesh",
"AP","Andhra Pradesh",
"TS","Telangana",
"telangana","Telangana")</f>
        <v>Andhra Pradesh</v>
      </c>
      <c r="N20" s="1" t="str">
        <f t="shared" si="1"/>
        <v>Jeans Black</v>
      </c>
      <c r="O20" s="1" t="str">
        <f t="shared" si="2"/>
        <v>Apparel</v>
      </c>
      <c r="P20" s="1" t="str">
        <f t="shared" si="3"/>
        <v>pooja@gmail.com</v>
      </c>
      <c r="Q20" s="1" t="str">
        <f t="shared" si="4"/>
        <v>9876543221</v>
      </c>
      <c r="R20" s="1">
        <f t="shared" si="5"/>
        <v>2024</v>
      </c>
      <c r="S20" s="1" t="str">
        <f t="shared" si="6"/>
        <v>Jul</v>
      </c>
      <c r="T20" s="1" t="str">
        <f t="shared" si="7"/>
        <v>07</v>
      </c>
      <c r="U20" s="1" t="str">
        <f t="shared" si="8"/>
        <v>Sun</v>
      </c>
      <c r="V20" s="1">
        <f t="shared" si="9"/>
        <v>6</v>
      </c>
      <c r="W20" s="1" t="str">
        <f t="shared" si="10"/>
        <v>Late Delivery</v>
      </c>
    </row>
    <row r="21" spans="2:23" x14ac:dyDescent="0.25">
      <c r="B21" s="1" t="s">
        <v>94</v>
      </c>
      <c r="C21" s="1" t="s">
        <v>95</v>
      </c>
      <c r="D21" s="1" t="s">
        <v>51</v>
      </c>
      <c r="E21" s="2">
        <v>45512</v>
      </c>
      <c r="F21" s="2">
        <v>45518</v>
      </c>
      <c r="G21" s="1" t="s">
        <v>35</v>
      </c>
      <c r="H21" s="1" t="s">
        <v>36</v>
      </c>
      <c r="I21" s="1" t="s">
        <v>104</v>
      </c>
      <c r="J21" s="3">
        <v>9876543222</v>
      </c>
      <c r="K21" s="1">
        <v>3600</v>
      </c>
      <c r="L21" s="1" t="str">
        <f t="shared" si="0"/>
        <v>Vikram</v>
      </c>
      <c r="M21" s="1" t="str" cm="1">
        <f t="array" ref="M21">_xlfn.SWITCH(D21,"ap","Andhra Pradesh",
"Andhra","Andhra Pradesh",
"AP","Andhra Pradesh",
"TS","Telangana",
"telangana","Telangana")</f>
        <v>Telangana</v>
      </c>
      <c r="N21" s="1" t="str">
        <f t="shared" si="1"/>
        <v>Sneakers White</v>
      </c>
      <c r="O21" s="1" t="str">
        <f t="shared" si="2"/>
        <v>Footwear</v>
      </c>
      <c r="P21" s="1" t="str">
        <f t="shared" si="3"/>
        <v>vikram@gmail.com</v>
      </c>
      <c r="Q21" s="1" t="str">
        <f t="shared" si="4"/>
        <v>9876543222</v>
      </c>
      <c r="R21" s="1">
        <f t="shared" si="5"/>
        <v>2024</v>
      </c>
      <c r="S21" s="1" t="str">
        <f t="shared" si="6"/>
        <v>Aug</v>
      </c>
      <c r="T21" s="1" t="str">
        <f t="shared" si="7"/>
        <v>08</v>
      </c>
      <c r="U21" s="1" t="str">
        <f t="shared" si="8"/>
        <v>Thu</v>
      </c>
      <c r="V21" s="1">
        <f t="shared" si="9"/>
        <v>6</v>
      </c>
      <c r="W21" s="1" t="str">
        <f t="shared" si="10"/>
        <v>Late Delivery</v>
      </c>
    </row>
    <row r="22" spans="2:23" x14ac:dyDescent="0.25">
      <c r="B22" s="1" t="s">
        <v>96</v>
      </c>
      <c r="C22" s="1" t="s">
        <v>97</v>
      </c>
      <c r="D22" s="1" t="s">
        <v>45</v>
      </c>
      <c r="E22" s="2">
        <v>45544</v>
      </c>
      <c r="F22" s="2">
        <v>45550</v>
      </c>
      <c r="G22" s="1" t="s">
        <v>66</v>
      </c>
      <c r="H22" s="1" t="s">
        <v>26</v>
      </c>
      <c r="I22" s="1" t="s">
        <v>98</v>
      </c>
      <c r="J22" s="3">
        <v>919876543223</v>
      </c>
      <c r="K22" s="1">
        <v>2100</v>
      </c>
      <c r="L22" s="1" t="str">
        <f>PROPER(C22)</f>
        <v>Kavya</v>
      </c>
      <c r="M22" s="1" t="str" cm="1">
        <f t="array" ref="M22">_xlfn.SWITCH(D22,"ap","Andhra Pradesh",
"Andhra","Andhra Pradesh",
"AP","Andhra Pradesh",
"TS","Telangana",
"telangana","Telangana")</f>
        <v>Telangana</v>
      </c>
      <c r="N22" s="1" t="str">
        <f t="shared" si="1"/>
        <v>Kurti Red</v>
      </c>
      <c r="O22" s="1" t="str">
        <f t="shared" si="2"/>
        <v>Apparel</v>
      </c>
      <c r="P22" s="1" t="str">
        <f t="shared" si="3"/>
        <v>kavya@gmail.com</v>
      </c>
      <c r="Q22" s="1" t="str">
        <f t="shared" si="4"/>
        <v>9876543223</v>
      </c>
      <c r="R22" s="1">
        <f t="shared" si="5"/>
        <v>2024</v>
      </c>
      <c r="S22" s="1" t="str">
        <f t="shared" si="6"/>
        <v>Sep</v>
      </c>
      <c r="T22" s="1" t="str">
        <f t="shared" si="7"/>
        <v>09</v>
      </c>
      <c r="U22" s="1" t="str">
        <f t="shared" si="8"/>
        <v>Mon</v>
      </c>
      <c r="V22" s="1">
        <f t="shared" si="9"/>
        <v>6</v>
      </c>
      <c r="W22" s="1" t="str">
        <f t="shared" si="10"/>
        <v>Late Delivery</v>
      </c>
    </row>
    <row r="24" spans="2:23" x14ac:dyDescent="0.25">
      <c r="I24" s="6"/>
    </row>
    <row r="45" spans="13:13" x14ac:dyDescent="0.25">
      <c r="M45" t="str">
        <f t="shared" ref="M45:M89" si="11">PROPER(G23)</f>
        <v/>
      </c>
    </row>
    <row r="46" spans="13:13" x14ac:dyDescent="0.25">
      <c r="M46" t="str">
        <f t="shared" si="11"/>
        <v/>
      </c>
    </row>
    <row r="47" spans="13:13" x14ac:dyDescent="0.25">
      <c r="M47" t="str">
        <f t="shared" si="11"/>
        <v/>
      </c>
    </row>
    <row r="48" spans="13:13" x14ac:dyDescent="0.25">
      <c r="M48" t="str">
        <f t="shared" si="11"/>
        <v/>
      </c>
    </row>
    <row r="49" spans="13:13" x14ac:dyDescent="0.25">
      <c r="M49" t="str">
        <f t="shared" si="11"/>
        <v/>
      </c>
    </row>
    <row r="50" spans="13:13" x14ac:dyDescent="0.25">
      <c r="M50" t="str">
        <f t="shared" si="11"/>
        <v/>
      </c>
    </row>
    <row r="51" spans="13:13" x14ac:dyDescent="0.25">
      <c r="M51" t="str">
        <f t="shared" si="11"/>
        <v/>
      </c>
    </row>
    <row r="52" spans="13:13" x14ac:dyDescent="0.25">
      <c r="M52" t="str">
        <f t="shared" si="11"/>
        <v/>
      </c>
    </row>
    <row r="53" spans="13:13" x14ac:dyDescent="0.25">
      <c r="M53" t="str">
        <f t="shared" si="11"/>
        <v/>
      </c>
    </row>
    <row r="54" spans="13:13" x14ac:dyDescent="0.25">
      <c r="M54" t="str">
        <f t="shared" si="11"/>
        <v/>
      </c>
    </row>
    <row r="55" spans="13:13" x14ac:dyDescent="0.25">
      <c r="M55" t="str">
        <f t="shared" si="11"/>
        <v/>
      </c>
    </row>
    <row r="56" spans="13:13" x14ac:dyDescent="0.25">
      <c r="M56" t="str">
        <f t="shared" si="11"/>
        <v/>
      </c>
    </row>
    <row r="57" spans="13:13" x14ac:dyDescent="0.25">
      <c r="M57" t="str">
        <f t="shared" si="11"/>
        <v/>
      </c>
    </row>
    <row r="58" spans="13:13" x14ac:dyDescent="0.25">
      <c r="M58" t="str">
        <f t="shared" si="11"/>
        <v/>
      </c>
    </row>
    <row r="59" spans="13:13" x14ac:dyDescent="0.25">
      <c r="M59" t="str">
        <f t="shared" si="11"/>
        <v/>
      </c>
    </row>
    <row r="60" spans="13:13" x14ac:dyDescent="0.25">
      <c r="M60" t="str">
        <f t="shared" si="11"/>
        <v/>
      </c>
    </row>
    <row r="61" spans="13:13" x14ac:dyDescent="0.25">
      <c r="M61" t="str">
        <f t="shared" si="11"/>
        <v/>
      </c>
    </row>
    <row r="62" spans="13:13" x14ac:dyDescent="0.25">
      <c r="M62" t="str">
        <f t="shared" si="11"/>
        <v/>
      </c>
    </row>
    <row r="63" spans="13:13" x14ac:dyDescent="0.25">
      <c r="M63" t="str">
        <f t="shared" si="11"/>
        <v/>
      </c>
    </row>
    <row r="64" spans="13:13" x14ac:dyDescent="0.25">
      <c r="M64" t="str">
        <f t="shared" si="11"/>
        <v/>
      </c>
    </row>
    <row r="65" spans="13:13" x14ac:dyDescent="0.25">
      <c r="M65" t="str">
        <f t="shared" si="11"/>
        <v/>
      </c>
    </row>
    <row r="66" spans="13:13" x14ac:dyDescent="0.25">
      <c r="M66" t="str">
        <f t="shared" si="11"/>
        <v/>
      </c>
    </row>
    <row r="67" spans="13:13" x14ac:dyDescent="0.25">
      <c r="M67" t="str">
        <f t="shared" si="11"/>
        <v/>
      </c>
    </row>
    <row r="68" spans="13:13" x14ac:dyDescent="0.25">
      <c r="M68" t="str">
        <f t="shared" si="11"/>
        <v/>
      </c>
    </row>
    <row r="69" spans="13:13" x14ac:dyDescent="0.25">
      <c r="M69" t="str">
        <f t="shared" si="11"/>
        <v/>
      </c>
    </row>
    <row r="70" spans="13:13" x14ac:dyDescent="0.25">
      <c r="M70" t="str">
        <f t="shared" si="11"/>
        <v/>
      </c>
    </row>
    <row r="71" spans="13:13" x14ac:dyDescent="0.25">
      <c r="M71" t="str">
        <f t="shared" si="11"/>
        <v/>
      </c>
    </row>
    <row r="72" spans="13:13" x14ac:dyDescent="0.25">
      <c r="M72" t="str">
        <f t="shared" si="11"/>
        <v/>
      </c>
    </row>
    <row r="73" spans="13:13" x14ac:dyDescent="0.25">
      <c r="M73" t="str">
        <f t="shared" si="11"/>
        <v/>
      </c>
    </row>
    <row r="74" spans="13:13" x14ac:dyDescent="0.25">
      <c r="M74" t="str">
        <f t="shared" si="11"/>
        <v/>
      </c>
    </row>
    <row r="75" spans="13:13" x14ac:dyDescent="0.25">
      <c r="M75" t="str">
        <f t="shared" si="11"/>
        <v/>
      </c>
    </row>
    <row r="76" spans="13:13" x14ac:dyDescent="0.25">
      <c r="M76" t="str">
        <f t="shared" si="11"/>
        <v/>
      </c>
    </row>
    <row r="77" spans="13:13" x14ac:dyDescent="0.25">
      <c r="M77" t="str">
        <f t="shared" si="11"/>
        <v/>
      </c>
    </row>
    <row r="78" spans="13:13" x14ac:dyDescent="0.25">
      <c r="M78" t="str">
        <f t="shared" si="11"/>
        <v/>
      </c>
    </row>
    <row r="79" spans="13:13" x14ac:dyDescent="0.25">
      <c r="M79" t="str">
        <f t="shared" si="11"/>
        <v/>
      </c>
    </row>
    <row r="80" spans="13:13" x14ac:dyDescent="0.25">
      <c r="M80" t="str">
        <f t="shared" si="11"/>
        <v/>
      </c>
    </row>
    <row r="81" spans="13:13" x14ac:dyDescent="0.25">
      <c r="M81" t="str">
        <f t="shared" si="11"/>
        <v/>
      </c>
    </row>
    <row r="82" spans="13:13" x14ac:dyDescent="0.25">
      <c r="M82" t="str">
        <f t="shared" si="11"/>
        <v/>
      </c>
    </row>
    <row r="83" spans="13:13" x14ac:dyDescent="0.25">
      <c r="M83" t="str">
        <f t="shared" si="11"/>
        <v/>
      </c>
    </row>
    <row r="84" spans="13:13" x14ac:dyDescent="0.25">
      <c r="M84" t="str">
        <f t="shared" si="11"/>
        <v/>
      </c>
    </row>
    <row r="85" spans="13:13" x14ac:dyDescent="0.25">
      <c r="M85" t="str">
        <f t="shared" si="11"/>
        <v/>
      </c>
    </row>
    <row r="86" spans="13:13" x14ac:dyDescent="0.25">
      <c r="M86" t="str">
        <f t="shared" si="11"/>
        <v/>
      </c>
    </row>
    <row r="87" spans="13:13" x14ac:dyDescent="0.25">
      <c r="M87" t="str">
        <f t="shared" si="11"/>
        <v/>
      </c>
    </row>
    <row r="88" spans="13:13" x14ac:dyDescent="0.25">
      <c r="M88" t="str">
        <f t="shared" si="11"/>
        <v/>
      </c>
    </row>
    <row r="89" spans="13:13" x14ac:dyDescent="0.25">
      <c r="M89" t="str">
        <f t="shared" si="11"/>
        <v/>
      </c>
    </row>
    <row r="90" spans="13:13" x14ac:dyDescent="0.25">
      <c r="M90" t="str">
        <f t="shared" ref="M90:M153" si="12">PROPER(G68)</f>
        <v/>
      </c>
    </row>
    <row r="91" spans="13:13" x14ac:dyDescent="0.25">
      <c r="M91" t="str">
        <f t="shared" si="12"/>
        <v/>
      </c>
    </row>
    <row r="92" spans="13:13" x14ac:dyDescent="0.25">
      <c r="M92" t="str">
        <f t="shared" si="12"/>
        <v/>
      </c>
    </row>
    <row r="93" spans="13:13" x14ac:dyDescent="0.25">
      <c r="M93" t="str">
        <f t="shared" si="12"/>
        <v/>
      </c>
    </row>
    <row r="94" spans="13:13" x14ac:dyDescent="0.25">
      <c r="M94" t="str">
        <f t="shared" si="12"/>
        <v/>
      </c>
    </row>
    <row r="95" spans="13:13" x14ac:dyDescent="0.25">
      <c r="M95" t="str">
        <f t="shared" si="12"/>
        <v/>
      </c>
    </row>
    <row r="96" spans="13:13" x14ac:dyDescent="0.25">
      <c r="M96" t="str">
        <f t="shared" si="12"/>
        <v/>
      </c>
    </row>
    <row r="97" spans="13:13" x14ac:dyDescent="0.25">
      <c r="M97" t="str">
        <f t="shared" si="12"/>
        <v/>
      </c>
    </row>
    <row r="98" spans="13:13" x14ac:dyDescent="0.25">
      <c r="M98" t="str">
        <f t="shared" si="12"/>
        <v/>
      </c>
    </row>
    <row r="99" spans="13:13" x14ac:dyDescent="0.25">
      <c r="M99" t="str">
        <f t="shared" si="12"/>
        <v/>
      </c>
    </row>
    <row r="100" spans="13:13" x14ac:dyDescent="0.25">
      <c r="M100" t="str">
        <f t="shared" si="12"/>
        <v/>
      </c>
    </row>
    <row r="101" spans="13:13" x14ac:dyDescent="0.25">
      <c r="M101" t="str">
        <f t="shared" si="12"/>
        <v/>
      </c>
    </row>
    <row r="102" spans="13:13" x14ac:dyDescent="0.25">
      <c r="M102" t="str">
        <f t="shared" si="12"/>
        <v/>
      </c>
    </row>
    <row r="103" spans="13:13" x14ac:dyDescent="0.25">
      <c r="M103" t="str">
        <f t="shared" si="12"/>
        <v/>
      </c>
    </row>
    <row r="104" spans="13:13" x14ac:dyDescent="0.25">
      <c r="M104" t="str">
        <f t="shared" si="12"/>
        <v/>
      </c>
    </row>
    <row r="105" spans="13:13" x14ac:dyDescent="0.25">
      <c r="M105" t="str">
        <f t="shared" si="12"/>
        <v/>
      </c>
    </row>
    <row r="106" spans="13:13" x14ac:dyDescent="0.25">
      <c r="M106" t="str">
        <f t="shared" si="12"/>
        <v/>
      </c>
    </row>
    <row r="107" spans="13:13" x14ac:dyDescent="0.25">
      <c r="M107" t="str">
        <f t="shared" si="12"/>
        <v/>
      </c>
    </row>
    <row r="108" spans="13:13" x14ac:dyDescent="0.25">
      <c r="M108" t="str">
        <f t="shared" si="12"/>
        <v/>
      </c>
    </row>
    <row r="109" spans="13:13" x14ac:dyDescent="0.25">
      <c r="M109" t="str">
        <f t="shared" si="12"/>
        <v/>
      </c>
    </row>
    <row r="110" spans="13:13" x14ac:dyDescent="0.25">
      <c r="M110" t="str">
        <f t="shared" si="12"/>
        <v/>
      </c>
    </row>
    <row r="111" spans="13:13" x14ac:dyDescent="0.25">
      <c r="M111" t="str">
        <f t="shared" si="12"/>
        <v/>
      </c>
    </row>
    <row r="112" spans="13:13" x14ac:dyDescent="0.25">
      <c r="M112" t="str">
        <f t="shared" si="12"/>
        <v/>
      </c>
    </row>
    <row r="113" spans="13:13" x14ac:dyDescent="0.25">
      <c r="M113" t="str">
        <f t="shared" si="12"/>
        <v/>
      </c>
    </row>
    <row r="114" spans="13:13" x14ac:dyDescent="0.25">
      <c r="M114" t="str">
        <f t="shared" si="12"/>
        <v/>
      </c>
    </row>
    <row r="115" spans="13:13" x14ac:dyDescent="0.25">
      <c r="M115" t="str">
        <f t="shared" si="12"/>
        <v/>
      </c>
    </row>
    <row r="116" spans="13:13" x14ac:dyDescent="0.25">
      <c r="M116" t="str">
        <f t="shared" si="12"/>
        <v/>
      </c>
    </row>
    <row r="117" spans="13:13" x14ac:dyDescent="0.25">
      <c r="M117" t="str">
        <f t="shared" si="12"/>
        <v/>
      </c>
    </row>
    <row r="118" spans="13:13" x14ac:dyDescent="0.25">
      <c r="M118" t="str">
        <f t="shared" si="12"/>
        <v/>
      </c>
    </row>
    <row r="119" spans="13:13" x14ac:dyDescent="0.25">
      <c r="M119" t="str">
        <f t="shared" si="12"/>
        <v/>
      </c>
    </row>
    <row r="120" spans="13:13" x14ac:dyDescent="0.25">
      <c r="M120" t="str">
        <f t="shared" si="12"/>
        <v/>
      </c>
    </row>
    <row r="121" spans="13:13" x14ac:dyDescent="0.25">
      <c r="M121" t="str">
        <f t="shared" si="12"/>
        <v/>
      </c>
    </row>
    <row r="122" spans="13:13" x14ac:dyDescent="0.25">
      <c r="M122" t="str">
        <f t="shared" si="12"/>
        <v/>
      </c>
    </row>
    <row r="123" spans="13:13" x14ac:dyDescent="0.25">
      <c r="M123" t="str">
        <f t="shared" si="12"/>
        <v/>
      </c>
    </row>
    <row r="124" spans="13:13" x14ac:dyDescent="0.25">
      <c r="M124" t="str">
        <f t="shared" si="12"/>
        <v/>
      </c>
    </row>
    <row r="125" spans="13:13" x14ac:dyDescent="0.25">
      <c r="M125" t="str">
        <f t="shared" si="12"/>
        <v/>
      </c>
    </row>
    <row r="126" spans="13:13" x14ac:dyDescent="0.25">
      <c r="M126" t="str">
        <f t="shared" si="12"/>
        <v/>
      </c>
    </row>
    <row r="127" spans="13:13" x14ac:dyDescent="0.25">
      <c r="M127" t="str">
        <f t="shared" si="12"/>
        <v/>
      </c>
    </row>
    <row r="128" spans="13:13" x14ac:dyDescent="0.25">
      <c r="M128" t="str">
        <f t="shared" si="12"/>
        <v/>
      </c>
    </row>
    <row r="129" spans="13:13" x14ac:dyDescent="0.25">
      <c r="M129" t="str">
        <f t="shared" si="12"/>
        <v/>
      </c>
    </row>
    <row r="130" spans="13:13" x14ac:dyDescent="0.25">
      <c r="M130" t="str">
        <f t="shared" si="12"/>
        <v/>
      </c>
    </row>
    <row r="131" spans="13:13" x14ac:dyDescent="0.25">
      <c r="M131" t="str">
        <f t="shared" si="12"/>
        <v/>
      </c>
    </row>
    <row r="132" spans="13:13" x14ac:dyDescent="0.25">
      <c r="M132" t="str">
        <f t="shared" si="12"/>
        <v/>
      </c>
    </row>
    <row r="133" spans="13:13" x14ac:dyDescent="0.25">
      <c r="M133" t="str">
        <f t="shared" si="12"/>
        <v/>
      </c>
    </row>
    <row r="134" spans="13:13" x14ac:dyDescent="0.25">
      <c r="M134" t="str">
        <f t="shared" si="12"/>
        <v/>
      </c>
    </row>
    <row r="135" spans="13:13" x14ac:dyDescent="0.25">
      <c r="M135" t="str">
        <f t="shared" si="12"/>
        <v/>
      </c>
    </row>
    <row r="136" spans="13:13" x14ac:dyDescent="0.25">
      <c r="M136" t="str">
        <f t="shared" si="12"/>
        <v/>
      </c>
    </row>
    <row r="137" spans="13:13" x14ac:dyDescent="0.25">
      <c r="M137" t="str">
        <f t="shared" si="12"/>
        <v/>
      </c>
    </row>
    <row r="138" spans="13:13" x14ac:dyDescent="0.25">
      <c r="M138" t="str">
        <f t="shared" si="12"/>
        <v/>
      </c>
    </row>
    <row r="139" spans="13:13" x14ac:dyDescent="0.25">
      <c r="M139" t="str">
        <f t="shared" si="12"/>
        <v/>
      </c>
    </row>
    <row r="140" spans="13:13" x14ac:dyDescent="0.25">
      <c r="M140" t="str">
        <f t="shared" si="12"/>
        <v/>
      </c>
    </row>
    <row r="141" spans="13:13" x14ac:dyDescent="0.25">
      <c r="M141" t="str">
        <f t="shared" si="12"/>
        <v/>
      </c>
    </row>
    <row r="142" spans="13:13" x14ac:dyDescent="0.25">
      <c r="M142" t="str">
        <f t="shared" si="12"/>
        <v/>
      </c>
    </row>
    <row r="143" spans="13:13" x14ac:dyDescent="0.25">
      <c r="M143" t="str">
        <f t="shared" si="12"/>
        <v/>
      </c>
    </row>
    <row r="144" spans="13:13" x14ac:dyDescent="0.25">
      <c r="M144" t="str">
        <f t="shared" si="12"/>
        <v/>
      </c>
    </row>
    <row r="145" spans="13:13" x14ac:dyDescent="0.25">
      <c r="M145" t="str">
        <f t="shared" si="12"/>
        <v/>
      </c>
    </row>
    <row r="146" spans="13:13" x14ac:dyDescent="0.25">
      <c r="M146" t="str">
        <f t="shared" si="12"/>
        <v/>
      </c>
    </row>
    <row r="147" spans="13:13" x14ac:dyDescent="0.25">
      <c r="M147" t="str">
        <f t="shared" si="12"/>
        <v/>
      </c>
    </row>
    <row r="148" spans="13:13" x14ac:dyDescent="0.25">
      <c r="M148" t="str">
        <f t="shared" si="12"/>
        <v/>
      </c>
    </row>
    <row r="149" spans="13:13" x14ac:dyDescent="0.25">
      <c r="M149" t="str">
        <f t="shared" si="12"/>
        <v/>
      </c>
    </row>
    <row r="150" spans="13:13" x14ac:dyDescent="0.25">
      <c r="M150" t="str">
        <f t="shared" si="12"/>
        <v/>
      </c>
    </row>
    <row r="151" spans="13:13" x14ac:dyDescent="0.25">
      <c r="M151" t="str">
        <f t="shared" si="12"/>
        <v/>
      </c>
    </row>
    <row r="152" spans="13:13" x14ac:dyDescent="0.25">
      <c r="M152" t="str">
        <f t="shared" si="12"/>
        <v/>
      </c>
    </row>
    <row r="153" spans="13:13" x14ac:dyDescent="0.25">
      <c r="M153" t="str">
        <f t="shared" si="12"/>
        <v/>
      </c>
    </row>
    <row r="154" spans="13:13" x14ac:dyDescent="0.25">
      <c r="M154" t="str">
        <f t="shared" ref="M154:M217" si="13">PROPER(G132)</f>
        <v/>
      </c>
    </row>
    <row r="155" spans="13:13" x14ac:dyDescent="0.25">
      <c r="M155" t="str">
        <f t="shared" si="13"/>
        <v/>
      </c>
    </row>
    <row r="156" spans="13:13" x14ac:dyDescent="0.25">
      <c r="M156" t="str">
        <f t="shared" si="13"/>
        <v/>
      </c>
    </row>
    <row r="157" spans="13:13" x14ac:dyDescent="0.25">
      <c r="M157" t="str">
        <f t="shared" si="13"/>
        <v/>
      </c>
    </row>
    <row r="158" spans="13:13" x14ac:dyDescent="0.25">
      <c r="M158" t="str">
        <f t="shared" si="13"/>
        <v/>
      </c>
    </row>
    <row r="159" spans="13:13" x14ac:dyDescent="0.25">
      <c r="M159" t="str">
        <f t="shared" si="13"/>
        <v/>
      </c>
    </row>
    <row r="160" spans="13:13" x14ac:dyDescent="0.25">
      <c r="M160" t="str">
        <f t="shared" si="13"/>
        <v/>
      </c>
    </row>
    <row r="161" spans="13:13" x14ac:dyDescent="0.25">
      <c r="M161" t="str">
        <f t="shared" si="13"/>
        <v/>
      </c>
    </row>
    <row r="162" spans="13:13" x14ac:dyDescent="0.25">
      <c r="M162" t="str">
        <f t="shared" si="13"/>
        <v/>
      </c>
    </row>
    <row r="163" spans="13:13" x14ac:dyDescent="0.25">
      <c r="M163" t="str">
        <f t="shared" si="13"/>
        <v/>
      </c>
    </row>
    <row r="164" spans="13:13" x14ac:dyDescent="0.25">
      <c r="M164" t="str">
        <f t="shared" si="13"/>
        <v/>
      </c>
    </row>
    <row r="165" spans="13:13" x14ac:dyDescent="0.25">
      <c r="M165" t="str">
        <f t="shared" si="13"/>
        <v/>
      </c>
    </row>
    <row r="166" spans="13:13" x14ac:dyDescent="0.25">
      <c r="M166" t="str">
        <f t="shared" si="13"/>
        <v/>
      </c>
    </row>
    <row r="167" spans="13:13" x14ac:dyDescent="0.25">
      <c r="M167" t="str">
        <f t="shared" si="13"/>
        <v/>
      </c>
    </row>
    <row r="168" spans="13:13" x14ac:dyDescent="0.25">
      <c r="M168" t="str">
        <f t="shared" si="13"/>
        <v/>
      </c>
    </row>
    <row r="169" spans="13:13" x14ac:dyDescent="0.25">
      <c r="M169" t="str">
        <f t="shared" si="13"/>
        <v/>
      </c>
    </row>
    <row r="170" spans="13:13" x14ac:dyDescent="0.25">
      <c r="M170" t="str">
        <f t="shared" si="13"/>
        <v/>
      </c>
    </row>
    <row r="171" spans="13:13" x14ac:dyDescent="0.25">
      <c r="M171" t="str">
        <f t="shared" si="13"/>
        <v/>
      </c>
    </row>
    <row r="172" spans="13:13" x14ac:dyDescent="0.25">
      <c r="M172" t="str">
        <f t="shared" si="13"/>
        <v/>
      </c>
    </row>
    <row r="173" spans="13:13" x14ac:dyDescent="0.25">
      <c r="M173" t="str">
        <f t="shared" si="13"/>
        <v/>
      </c>
    </row>
    <row r="174" spans="13:13" x14ac:dyDescent="0.25">
      <c r="M174" t="str">
        <f t="shared" si="13"/>
        <v/>
      </c>
    </row>
    <row r="175" spans="13:13" x14ac:dyDescent="0.25">
      <c r="M175" t="str">
        <f t="shared" si="13"/>
        <v/>
      </c>
    </row>
    <row r="176" spans="13:13" x14ac:dyDescent="0.25">
      <c r="M176" t="str">
        <f t="shared" si="13"/>
        <v/>
      </c>
    </row>
    <row r="177" spans="13:13" x14ac:dyDescent="0.25">
      <c r="M177" t="str">
        <f t="shared" si="13"/>
        <v/>
      </c>
    </row>
    <row r="178" spans="13:13" x14ac:dyDescent="0.25">
      <c r="M178" t="str">
        <f t="shared" si="13"/>
        <v/>
      </c>
    </row>
    <row r="179" spans="13:13" x14ac:dyDescent="0.25">
      <c r="M179" t="str">
        <f t="shared" si="13"/>
        <v/>
      </c>
    </row>
    <row r="180" spans="13:13" x14ac:dyDescent="0.25">
      <c r="M180" t="str">
        <f t="shared" si="13"/>
        <v/>
      </c>
    </row>
    <row r="181" spans="13:13" x14ac:dyDescent="0.25">
      <c r="M181" t="str">
        <f t="shared" si="13"/>
        <v/>
      </c>
    </row>
    <row r="182" spans="13:13" x14ac:dyDescent="0.25">
      <c r="M182" t="str">
        <f t="shared" si="13"/>
        <v/>
      </c>
    </row>
    <row r="183" spans="13:13" x14ac:dyDescent="0.25">
      <c r="M183" t="str">
        <f t="shared" si="13"/>
        <v/>
      </c>
    </row>
    <row r="184" spans="13:13" x14ac:dyDescent="0.25">
      <c r="M184" t="str">
        <f t="shared" si="13"/>
        <v/>
      </c>
    </row>
    <row r="185" spans="13:13" x14ac:dyDescent="0.25">
      <c r="M185" t="str">
        <f t="shared" si="13"/>
        <v/>
      </c>
    </row>
    <row r="186" spans="13:13" x14ac:dyDescent="0.25">
      <c r="M186" t="str">
        <f t="shared" si="13"/>
        <v/>
      </c>
    </row>
    <row r="187" spans="13:13" x14ac:dyDescent="0.25">
      <c r="M187" t="str">
        <f t="shared" si="13"/>
        <v/>
      </c>
    </row>
    <row r="188" spans="13:13" x14ac:dyDescent="0.25">
      <c r="M188" t="str">
        <f t="shared" si="13"/>
        <v/>
      </c>
    </row>
    <row r="189" spans="13:13" x14ac:dyDescent="0.25">
      <c r="M189" t="str">
        <f t="shared" si="13"/>
        <v/>
      </c>
    </row>
    <row r="190" spans="13:13" x14ac:dyDescent="0.25">
      <c r="M190" t="str">
        <f t="shared" si="13"/>
        <v/>
      </c>
    </row>
    <row r="191" spans="13:13" x14ac:dyDescent="0.25">
      <c r="M191" t="str">
        <f t="shared" si="13"/>
        <v/>
      </c>
    </row>
    <row r="192" spans="13:13" x14ac:dyDescent="0.25">
      <c r="M192" t="str">
        <f t="shared" si="13"/>
        <v/>
      </c>
    </row>
    <row r="193" spans="13:13" x14ac:dyDescent="0.25">
      <c r="M193" t="str">
        <f t="shared" si="13"/>
        <v/>
      </c>
    </row>
    <row r="194" spans="13:13" x14ac:dyDescent="0.25">
      <c r="M194" t="str">
        <f t="shared" si="13"/>
        <v/>
      </c>
    </row>
    <row r="195" spans="13:13" x14ac:dyDescent="0.25">
      <c r="M195" t="str">
        <f t="shared" si="13"/>
        <v/>
      </c>
    </row>
    <row r="196" spans="13:13" x14ac:dyDescent="0.25">
      <c r="M196" t="str">
        <f t="shared" si="13"/>
        <v/>
      </c>
    </row>
    <row r="197" spans="13:13" x14ac:dyDescent="0.25">
      <c r="M197" t="str">
        <f t="shared" si="13"/>
        <v/>
      </c>
    </row>
    <row r="198" spans="13:13" x14ac:dyDescent="0.25">
      <c r="M198" t="str">
        <f t="shared" si="13"/>
        <v/>
      </c>
    </row>
    <row r="199" spans="13:13" x14ac:dyDescent="0.25">
      <c r="M199" t="str">
        <f t="shared" si="13"/>
        <v/>
      </c>
    </row>
    <row r="200" spans="13:13" x14ac:dyDescent="0.25">
      <c r="M200" t="str">
        <f t="shared" si="13"/>
        <v/>
      </c>
    </row>
    <row r="201" spans="13:13" x14ac:dyDescent="0.25">
      <c r="M201" t="str">
        <f t="shared" si="13"/>
        <v/>
      </c>
    </row>
    <row r="202" spans="13:13" x14ac:dyDescent="0.25">
      <c r="M202" t="str">
        <f t="shared" si="13"/>
        <v/>
      </c>
    </row>
    <row r="203" spans="13:13" x14ac:dyDescent="0.25">
      <c r="M203" t="str">
        <f t="shared" si="13"/>
        <v/>
      </c>
    </row>
    <row r="204" spans="13:13" x14ac:dyDescent="0.25">
      <c r="M204" t="str">
        <f t="shared" si="13"/>
        <v/>
      </c>
    </row>
    <row r="205" spans="13:13" x14ac:dyDescent="0.25">
      <c r="M205" t="str">
        <f t="shared" si="13"/>
        <v/>
      </c>
    </row>
    <row r="206" spans="13:13" x14ac:dyDescent="0.25">
      <c r="M206" t="str">
        <f t="shared" si="13"/>
        <v/>
      </c>
    </row>
    <row r="207" spans="13:13" x14ac:dyDescent="0.25">
      <c r="M207" t="str">
        <f t="shared" si="13"/>
        <v/>
      </c>
    </row>
    <row r="208" spans="13:13" x14ac:dyDescent="0.25">
      <c r="M208" t="str">
        <f t="shared" si="13"/>
        <v/>
      </c>
    </row>
    <row r="209" spans="13:13" x14ac:dyDescent="0.25">
      <c r="M209" t="str">
        <f t="shared" si="13"/>
        <v/>
      </c>
    </row>
    <row r="210" spans="13:13" x14ac:dyDescent="0.25">
      <c r="M210" t="str">
        <f t="shared" si="13"/>
        <v/>
      </c>
    </row>
    <row r="211" spans="13:13" x14ac:dyDescent="0.25">
      <c r="M211" t="str">
        <f t="shared" si="13"/>
        <v/>
      </c>
    </row>
    <row r="212" spans="13:13" x14ac:dyDescent="0.25">
      <c r="M212" t="str">
        <f t="shared" si="13"/>
        <v/>
      </c>
    </row>
    <row r="213" spans="13:13" x14ac:dyDescent="0.25">
      <c r="M213" t="str">
        <f t="shared" si="13"/>
        <v/>
      </c>
    </row>
    <row r="214" spans="13:13" x14ac:dyDescent="0.25">
      <c r="M214" t="str">
        <f t="shared" si="13"/>
        <v/>
      </c>
    </row>
    <row r="215" spans="13:13" x14ac:dyDescent="0.25">
      <c r="M215" t="str">
        <f t="shared" si="13"/>
        <v/>
      </c>
    </row>
    <row r="216" spans="13:13" x14ac:dyDescent="0.25">
      <c r="M216" t="str">
        <f t="shared" si="13"/>
        <v/>
      </c>
    </row>
    <row r="217" spans="13:13" x14ac:dyDescent="0.25">
      <c r="M217" t="str">
        <f t="shared" si="13"/>
        <v/>
      </c>
    </row>
    <row r="218" spans="13:13" x14ac:dyDescent="0.25">
      <c r="M218" t="str">
        <f t="shared" ref="M218:M220" si="14">PROPER(G196)</f>
        <v/>
      </c>
    </row>
    <row r="219" spans="13:13" x14ac:dyDescent="0.25">
      <c r="M219" t="str">
        <f t="shared" si="14"/>
        <v/>
      </c>
    </row>
    <row r="220" spans="13:13" x14ac:dyDescent="0.25">
      <c r="M220" t="str">
        <f t="shared" si="14"/>
        <v/>
      </c>
    </row>
  </sheetData>
  <pageMargins left="0.7" right="0.7" top="0.75" bottom="0.75" header="0.3" footer="0.3"/>
  <ignoredErrors>
    <ignoredError sqref="M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2BBB-F8E1-47B4-8B45-702A6F792056}">
  <dimension ref="A1"/>
  <sheetViews>
    <sheetView showGridLines="0" workbookViewId="0">
      <selection activeCell="E21" sqref="E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04AC-3CA3-4C16-9DC3-18A1D2496F91}">
  <dimension ref="B2:V28"/>
  <sheetViews>
    <sheetView workbookViewId="0">
      <selection activeCell="E10" sqref="E10"/>
    </sheetView>
  </sheetViews>
  <sheetFormatPr defaultRowHeight="15" x14ac:dyDescent="0.25"/>
  <cols>
    <col min="3" max="3" width="25.42578125" customWidth="1"/>
    <col min="5" max="5" width="17.42578125" customWidth="1"/>
    <col min="8" max="8" width="16.28515625" customWidth="1"/>
    <col min="9" max="9" width="17" customWidth="1"/>
  </cols>
  <sheetData>
    <row r="2" spans="2:22" ht="15.75" thickBot="1" x14ac:dyDescent="0.3">
      <c r="I2" t="s">
        <v>111</v>
      </c>
      <c r="J2">
        <v>2023</v>
      </c>
      <c r="U2" s="23" t="s">
        <v>16</v>
      </c>
    </row>
    <row r="3" spans="2:22" ht="16.5" thickBot="1" x14ac:dyDescent="0.3">
      <c r="B3" s="22" t="s">
        <v>17</v>
      </c>
      <c r="C3" s="22" t="s">
        <v>106</v>
      </c>
      <c r="E3" s="24" t="s">
        <v>107</v>
      </c>
      <c r="F3" s="25"/>
      <c r="G3" s="26"/>
      <c r="I3" t="s">
        <v>112</v>
      </c>
      <c r="J3" t="s">
        <v>114</v>
      </c>
      <c r="V3">
        <f>INT(TEXT(Dataset!E3,"yyyy"))</f>
        <v>2023</v>
      </c>
    </row>
    <row r="4" spans="2:22" x14ac:dyDescent="0.25">
      <c r="B4" t="str">
        <f>TEXT(Dataset!E14,"mmm")</f>
        <v>Jan</v>
      </c>
      <c r="C4">
        <f t="shared" ref="C4:C15" si="0">SUMIF(Months,B4,Sales_data)</f>
        <v>2600</v>
      </c>
      <c r="E4" s="15" t="s">
        <v>108</v>
      </c>
      <c r="F4" s="16">
        <f>COUNTIF(Delivery_status,E4)</f>
        <v>8</v>
      </c>
      <c r="G4" s="18">
        <f>F4/20</f>
        <v>0.4</v>
      </c>
      <c r="I4" t="s">
        <v>113</v>
      </c>
      <c r="J4" t="s">
        <v>115</v>
      </c>
      <c r="V4">
        <f>INT(TEXT(Dataset!E14,"yyyy"))</f>
        <v>2024</v>
      </c>
    </row>
    <row r="5" spans="2:22" ht="15.75" thickBot="1" x14ac:dyDescent="0.3">
      <c r="B5" t="str">
        <f>TEXT(Dataset!E3,"mmm")</f>
        <v>Feb</v>
      </c>
      <c r="C5">
        <f t="shared" si="0"/>
        <v>4700</v>
      </c>
      <c r="E5" s="9" t="s">
        <v>109</v>
      </c>
      <c r="F5" s="10">
        <f>COUNTIF(Delivery_status,E5)</f>
        <v>12</v>
      </c>
      <c r="G5" s="11">
        <f>F5/20</f>
        <v>0.6</v>
      </c>
      <c r="I5" t="s">
        <v>105</v>
      </c>
      <c r="J5">
        <f>SUMIFS(Sales_data,Year,J2,Months,J3,Day_Name,J4)</f>
        <v>1500</v>
      </c>
      <c r="V5" s="7" t="s">
        <v>17</v>
      </c>
    </row>
    <row r="6" spans="2:22" ht="15.75" thickBot="1" x14ac:dyDescent="0.3">
      <c r="B6" t="str">
        <f>TEXT(Dataset!E4,"mmm")</f>
        <v>Mar</v>
      </c>
      <c r="C6">
        <f t="shared" si="0"/>
        <v>4500</v>
      </c>
      <c r="V6" t="str">
        <f>TEXT(Dataset!E3,"mmm")</f>
        <v>Feb</v>
      </c>
    </row>
    <row r="7" spans="2:22" ht="16.5" thickBot="1" x14ac:dyDescent="0.3">
      <c r="B7" t="str">
        <f>TEXT(Dataset!E5,"mmm")</f>
        <v>Apr</v>
      </c>
      <c r="C7">
        <f t="shared" si="0"/>
        <v>4900</v>
      </c>
      <c r="E7" s="19" t="s">
        <v>19</v>
      </c>
      <c r="F7" s="20" t="s">
        <v>9</v>
      </c>
      <c r="G7" s="21" t="s">
        <v>110</v>
      </c>
      <c r="V7" t="str">
        <f>TEXT(Dataset!E4,"mmm")</f>
        <v>Mar</v>
      </c>
    </row>
    <row r="8" spans="2:22" x14ac:dyDescent="0.25">
      <c r="B8" t="str">
        <f>TEXT(Dataset!E6,"mmm")</f>
        <v>May</v>
      </c>
      <c r="C8">
        <f t="shared" si="0"/>
        <v>4000</v>
      </c>
      <c r="E8" s="15" t="str">
        <f>TEXT(Dataset!E18,"ddd")</f>
        <v>Mon</v>
      </c>
      <c r="F8" s="16">
        <f t="shared" ref="F8:F14" si="1">SUMIF(Day_Name,E8,Sales_data)</f>
        <v>4300</v>
      </c>
      <c r="G8" s="17">
        <f t="shared" ref="G8:G14" si="2">COUNTIF(Day_Name,E8)</f>
        <v>2</v>
      </c>
      <c r="H8" s="6"/>
      <c r="V8" t="str">
        <f>TEXT(Dataset!E5,"mmm")</f>
        <v>Apr</v>
      </c>
    </row>
    <row r="9" spans="2:22" x14ac:dyDescent="0.25">
      <c r="B9" t="str">
        <f>TEXT(Dataset!E7,"mmm")</f>
        <v>Jun</v>
      </c>
      <c r="C9">
        <f t="shared" si="0"/>
        <v>2800</v>
      </c>
      <c r="E9" s="8" t="str">
        <f>TEXT(Dataset!E9,"ddd")</f>
        <v>Tue</v>
      </c>
      <c r="F9" s="1">
        <f t="shared" si="1"/>
        <v>2800</v>
      </c>
      <c r="G9" s="13">
        <f t="shared" si="2"/>
        <v>2</v>
      </c>
      <c r="H9" s="12"/>
      <c r="V9" t="str">
        <f>TEXT(Dataset!E6,"mmm")</f>
        <v>May</v>
      </c>
    </row>
    <row r="10" spans="2:22" x14ac:dyDescent="0.25">
      <c r="B10" t="str">
        <f>TEXT(Dataset!E8,"mmm")</f>
        <v>Jul</v>
      </c>
      <c r="C10">
        <f t="shared" si="0"/>
        <v>4800</v>
      </c>
      <c r="E10" s="8" t="str">
        <f>TEXT(Dataset!E3,"ddd")</f>
        <v>Wed</v>
      </c>
      <c r="F10" s="1">
        <f t="shared" si="1"/>
        <v>6000</v>
      </c>
      <c r="G10" s="13">
        <f t="shared" si="2"/>
        <v>3</v>
      </c>
      <c r="H10" s="12"/>
      <c r="V10" t="str">
        <f>TEXT(Dataset!E7,"mmm")</f>
        <v>Jun</v>
      </c>
    </row>
    <row r="11" spans="2:22" x14ac:dyDescent="0.25">
      <c r="B11" t="str">
        <f>TEXT(Dataset!E9,"mmm")</f>
        <v>Aug</v>
      </c>
      <c r="C11">
        <f t="shared" si="0"/>
        <v>4800</v>
      </c>
      <c r="E11" s="8" t="str">
        <f>TEXT(Dataset!E12,"ddd")</f>
        <v>Thu</v>
      </c>
      <c r="F11" s="1">
        <f t="shared" si="1"/>
        <v>9000</v>
      </c>
      <c r="G11" s="13">
        <f t="shared" si="2"/>
        <v>3</v>
      </c>
      <c r="H11" s="12"/>
      <c r="V11" t="str">
        <f>TEXT(Dataset!E8,"mmm")</f>
        <v>Jul</v>
      </c>
    </row>
    <row r="12" spans="2:22" x14ac:dyDescent="0.25">
      <c r="B12" t="str">
        <f>TEXT(Dataset!E10,"mmm")</f>
        <v>Sep</v>
      </c>
      <c r="C12">
        <f t="shared" si="0"/>
        <v>4500</v>
      </c>
      <c r="E12" s="8" t="str">
        <f>TEXT(Dataset!E6,"ddd")</f>
        <v>Fri</v>
      </c>
      <c r="F12" s="1">
        <f t="shared" si="1"/>
        <v>8500</v>
      </c>
      <c r="G12" s="13">
        <f t="shared" si="2"/>
        <v>4</v>
      </c>
      <c r="H12" s="12"/>
      <c r="V12" t="str">
        <f>TEXT(Dataset!E9,"mmm")</f>
        <v>Aug</v>
      </c>
    </row>
    <row r="13" spans="2:22" x14ac:dyDescent="0.25">
      <c r="B13" t="str">
        <f>TEXT(Dataset!E11,"mmm")</f>
        <v>Oct</v>
      </c>
      <c r="C13">
        <f t="shared" si="0"/>
        <v>3300</v>
      </c>
      <c r="E13" s="8" t="str">
        <f>TEXT(Dataset!E5,"ddd")</f>
        <v>Sat</v>
      </c>
      <c r="F13" s="1">
        <f t="shared" si="1"/>
        <v>6600</v>
      </c>
      <c r="G13" s="13">
        <f t="shared" si="2"/>
        <v>3</v>
      </c>
      <c r="H13" s="12"/>
      <c r="V13" t="str">
        <f>TEXT(Dataset!E10,"mmm")</f>
        <v>Sep</v>
      </c>
    </row>
    <row r="14" spans="2:22" ht="15.75" thickBot="1" x14ac:dyDescent="0.3">
      <c r="B14" t="str">
        <f>TEXT(Dataset!E12,"mmm")</f>
        <v>Nov</v>
      </c>
      <c r="C14">
        <f t="shared" si="0"/>
        <v>1900</v>
      </c>
      <c r="E14" s="9" t="str">
        <f>TEXT(Dataset!E4,"ddd")</f>
        <v>Sun</v>
      </c>
      <c r="F14" s="10">
        <f t="shared" si="1"/>
        <v>7200</v>
      </c>
      <c r="G14" s="14">
        <f t="shared" si="2"/>
        <v>3</v>
      </c>
      <c r="H14" s="12"/>
      <c r="V14" t="str">
        <f>TEXT(Dataset!E11,"mmm")</f>
        <v>Oct</v>
      </c>
    </row>
    <row r="15" spans="2:22" x14ac:dyDescent="0.25">
      <c r="B15" t="str">
        <f>TEXT(Dataset!E13,"mmm")</f>
        <v>Dec</v>
      </c>
      <c r="C15">
        <f t="shared" si="0"/>
        <v>1600</v>
      </c>
      <c r="H15" s="12"/>
      <c r="V15" t="str">
        <f>TEXT(Dataset!E12,"mmm")</f>
        <v>Nov</v>
      </c>
    </row>
    <row r="16" spans="2:22" x14ac:dyDescent="0.25">
      <c r="H16" s="12"/>
      <c r="V16" t="str">
        <f>TEXT(Dataset!E13,"mmm")</f>
        <v>Dec</v>
      </c>
    </row>
    <row r="17" spans="8:22" x14ac:dyDescent="0.25">
      <c r="H17" s="12"/>
      <c r="V17" t="str">
        <f>TEXT(Dataset!E14,"mmm")</f>
        <v>Jan</v>
      </c>
    </row>
    <row r="18" spans="8:22" x14ac:dyDescent="0.25">
      <c r="H18" s="12"/>
    </row>
    <row r="19" spans="8:22" x14ac:dyDescent="0.25">
      <c r="H19" s="12"/>
      <c r="V19" s="7" t="s">
        <v>19</v>
      </c>
    </row>
    <row r="20" spans="8:22" x14ac:dyDescent="0.25">
      <c r="H20" s="12"/>
      <c r="V20" t="str">
        <f>TEXT(Dataset!E3,"ddd")</f>
        <v>Wed</v>
      </c>
    </row>
    <row r="21" spans="8:22" x14ac:dyDescent="0.25">
      <c r="H21" s="12"/>
      <c r="V21" t="str">
        <f>TEXT(Dataset!E4,"ddd")</f>
        <v>Sun</v>
      </c>
    </row>
    <row r="22" spans="8:22" x14ac:dyDescent="0.25">
      <c r="H22" s="12"/>
      <c r="V22" t="str">
        <f>TEXT(Dataset!E5,"ddd")</f>
        <v>Sat</v>
      </c>
    </row>
    <row r="23" spans="8:22" x14ac:dyDescent="0.25">
      <c r="H23" s="12"/>
      <c r="V23" t="str">
        <f>TEXT(Dataset!E6,"ddd")</f>
        <v>Fri</v>
      </c>
    </row>
    <row r="24" spans="8:22" x14ac:dyDescent="0.25">
      <c r="H24" s="12"/>
      <c r="V24" t="str">
        <f>TEXT(Dataset!E9,"ddd")</f>
        <v>Tue</v>
      </c>
    </row>
    <row r="25" spans="8:22" x14ac:dyDescent="0.25">
      <c r="H25" s="12"/>
      <c r="V25" t="str">
        <f>TEXT(Dataset!E12,"ddd")</f>
        <v>Thu</v>
      </c>
    </row>
    <row r="26" spans="8:22" x14ac:dyDescent="0.25">
      <c r="H26" s="12"/>
      <c r="V26" t="str">
        <f>TEXT(Dataset!E18,"ddd")</f>
        <v>Mon</v>
      </c>
    </row>
    <row r="27" spans="8:22" x14ac:dyDescent="0.25">
      <c r="H27" s="12"/>
    </row>
    <row r="28" spans="8:22" x14ac:dyDescent="0.25">
      <c r="H28" s="12"/>
    </row>
  </sheetData>
  <sortState xmlns:xlrd2="http://schemas.microsoft.com/office/spreadsheetml/2017/richdata2" ref="E8:G14">
    <sortCondition ref="E8:E14" customList="Mon,Tue,Wed,Thu,Fri,Sat,Sun"/>
  </sortState>
  <mergeCells count="1">
    <mergeCell ref="E3:G3"/>
  </mergeCells>
  <conditionalFormatting sqref="C4:C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{251282E5-7F22-479A-AC35-544F6FB5CA35}</x14:id>
        </ext>
      </extLst>
    </cfRule>
  </conditionalFormatting>
  <dataValidations count="3">
    <dataValidation type="list" allowBlank="1" showInputMessage="1" showErrorMessage="1" sqref="J3:U3" xr:uid="{EA82AFA5-BF3D-446E-9BC4-A590DD7D1AD8}">
      <formula1>$V$5:$V$17</formula1>
    </dataValidation>
    <dataValidation type="list" allowBlank="1" showInputMessage="1" showErrorMessage="1" sqref="J4:U4" xr:uid="{EC78E690-3A36-402C-86F5-2431B385CA4E}">
      <formula1>$V$19:$V$26</formula1>
    </dataValidation>
    <dataValidation type="list" allowBlank="1" showInputMessage="1" showErrorMessage="1" sqref="J2:T2" xr:uid="{5F05BE6B-6B84-41C7-8F69-C2161A75307A}">
      <formula1>$V$2:$V$4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282E5-7F22-479A-AC35-544F6FB5C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Dataset</vt:lpstr>
      <vt:lpstr>Report_Refernce</vt:lpstr>
      <vt:lpstr>Sheet1</vt:lpstr>
      <vt:lpstr>Day_Name</vt:lpstr>
      <vt:lpstr>Delivery_status</vt:lpstr>
      <vt:lpstr>Months</vt:lpstr>
      <vt:lpstr>Sales_data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2026-04-20T05:48:04Z</dcterms:created>
  <dcterms:modified xsi:type="dcterms:W3CDTF">2026-04-21T03:54:32Z</dcterms:modified>
</cp:coreProperties>
</file>